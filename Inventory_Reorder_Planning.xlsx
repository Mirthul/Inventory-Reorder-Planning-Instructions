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Intellea\projects\Project 5\"/>
    </mc:Choice>
  </mc:AlternateContent>
  <xr:revisionPtr revIDLastSave="0" documentId="8_{58D34500-8F8E-4A00-92D7-B6CE700D5113}" xr6:coauthVersionLast="47" xr6:coauthVersionMax="47" xr10:uidLastSave="{00000000-0000-0000-0000-000000000000}"/>
  <bookViews>
    <workbookView xWindow="-108" yWindow="-108" windowWidth="23256" windowHeight="12456" tabRatio="500" activeTab="2" xr2:uid="{00000000-000D-0000-FFFF-FFFF00000000}"/>
  </bookViews>
  <sheets>
    <sheet name="Sheet1 - Dataset" sheetId="1" r:id="rId1"/>
    <sheet name="Sheet2 - Q1 Answer" sheetId="2" r:id="rId2"/>
    <sheet name="Sheet3 - Q2 Answer" sheetId="3" r:id="rId3"/>
    <sheet name="Sheet4 - Q3 Answer" sheetId="4" r:id="rId4"/>
    <sheet name="Sheet5 - Q4 Answer" sheetId="5" r:id="rId5"/>
    <sheet name="Sheet6 - Q5 Answer" sheetId="6" r:id="rId6"/>
    <sheet name="Sheet7 - Q6 Answer" sheetId="7" r:id="rId7"/>
    <sheet name="Sheet8 - Q7 Answer" sheetId="8" r:id="rId8"/>
    <sheet name="Sheet9 - Q8 Answer" sheetId="9" r:id="rId9"/>
    <sheet name="Sheet10 - Q9 Dashboard" sheetId="10" r:id="rId10"/>
  </sheets>
  <definedNames>
    <definedName name="NativeTimeline_Order_Date">#N/A</definedName>
    <definedName name="Slicer_Category__VLOOKUP_IFERROR">#N/A</definedName>
  </definedNames>
  <calcPr calcId="191029" iterateDelta="1E-4"/>
  <pivotCaches>
    <pivotCache cacheId="2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10" l="1"/>
  <c r="B19" i="10"/>
  <c r="B18" i="10"/>
  <c r="G5" i="4"/>
  <c r="G6" i="4"/>
  <c r="G7" i="4"/>
  <c r="G8" i="4"/>
  <c r="G9" i="4"/>
  <c r="G10" i="4"/>
  <c r="G11" i="4"/>
  <c r="G12" i="4"/>
  <c r="G13" i="4"/>
  <c r="G14" i="4"/>
  <c r="G15" i="4"/>
  <c r="G16" i="4"/>
  <c r="G17" i="4"/>
  <c r="G18" i="4"/>
  <c r="G19" i="4"/>
  <c r="G20" i="4"/>
  <c r="G21" i="4"/>
  <c r="G22" i="4"/>
  <c r="G23" i="4"/>
  <c r="G4" i="4"/>
  <c r="H4" i="4" s="1"/>
  <c r="C18" i="7"/>
  <c r="C19" i="7"/>
  <c r="C20" i="7"/>
  <c r="C17" i="7"/>
  <c r="B18" i="7"/>
  <c r="B19" i="7"/>
  <c r="B20" i="7"/>
  <c r="B17" i="7"/>
  <c r="C8" i="7"/>
  <c r="C9" i="7"/>
  <c r="C10" i="7"/>
  <c r="C11" i="7"/>
  <c r="C12" i="7"/>
  <c r="C13" i="7"/>
  <c r="C14" i="7"/>
  <c r="B7" i="7"/>
  <c r="B8" i="7"/>
  <c r="B9" i="7"/>
  <c r="B10" i="7"/>
  <c r="B11" i="7"/>
  <c r="B12" i="7"/>
  <c r="B13" i="7"/>
  <c r="B14" i="7"/>
  <c r="B18" i="5"/>
  <c r="D6" i="5"/>
  <c r="D7" i="5"/>
  <c r="D8" i="5"/>
  <c r="D9" i="5"/>
  <c r="D10" i="5"/>
  <c r="D11" i="5"/>
  <c r="D12" i="5"/>
  <c r="C6" i="5"/>
  <c r="C7" i="5"/>
  <c r="C8" i="5"/>
  <c r="C9" i="5"/>
  <c r="C10" i="5"/>
  <c r="C11" i="5"/>
  <c r="C12" i="5"/>
  <c r="B6" i="5"/>
  <c r="B7" i="5"/>
  <c r="B8" i="5"/>
  <c r="B9" i="5"/>
  <c r="B10" i="5"/>
  <c r="B11" i="5"/>
  <c r="B12" i="5"/>
  <c r="A6" i="5"/>
  <c r="A7" i="5"/>
  <c r="A8" i="5"/>
  <c r="A9" i="5"/>
  <c r="A10" i="5"/>
  <c r="A11" i="5"/>
  <c r="A12" i="5"/>
  <c r="D5" i="5"/>
  <c r="C5" i="5"/>
  <c r="B5" i="5"/>
  <c r="A5" i="5"/>
  <c r="F24" i="4"/>
  <c r="C5" i="4"/>
  <c r="B5" i="4"/>
  <c r="A5" i="4"/>
  <c r="F6" i="4"/>
  <c r="F7" i="4"/>
  <c r="F8" i="4"/>
  <c r="F9" i="4"/>
  <c r="F10" i="4"/>
  <c r="F11" i="4"/>
  <c r="F12" i="4"/>
  <c r="F13" i="4"/>
  <c r="F14" i="4"/>
  <c r="F15" i="4"/>
  <c r="F16" i="4"/>
  <c r="F17" i="4"/>
  <c r="F18" i="4"/>
  <c r="F19" i="4"/>
  <c r="F20" i="4"/>
  <c r="F21" i="4"/>
  <c r="F22" i="4"/>
  <c r="F23" i="4"/>
  <c r="E6" i="4"/>
  <c r="E7" i="4"/>
  <c r="E8" i="4"/>
  <c r="E9" i="4"/>
  <c r="E10" i="4"/>
  <c r="E11" i="4"/>
  <c r="E12" i="4"/>
  <c r="E13" i="4"/>
  <c r="E14" i="4"/>
  <c r="E15" i="4"/>
  <c r="E16" i="4"/>
  <c r="E17" i="4"/>
  <c r="E18" i="4"/>
  <c r="E19" i="4"/>
  <c r="E20" i="4"/>
  <c r="E21" i="4"/>
  <c r="E22" i="4"/>
  <c r="E23" i="4"/>
  <c r="D6" i="4"/>
  <c r="D7" i="4"/>
  <c r="D8" i="4"/>
  <c r="D9" i="4"/>
  <c r="D10" i="4"/>
  <c r="D11" i="4"/>
  <c r="D12" i="4"/>
  <c r="D13" i="4"/>
  <c r="D14" i="4"/>
  <c r="D15" i="4"/>
  <c r="D16" i="4"/>
  <c r="D17" i="4"/>
  <c r="D18" i="4"/>
  <c r="D19" i="4"/>
  <c r="D20" i="4"/>
  <c r="D21" i="4"/>
  <c r="D22" i="4"/>
  <c r="D23" i="4"/>
  <c r="C6" i="4"/>
  <c r="C7" i="4"/>
  <c r="C8" i="4"/>
  <c r="C9" i="4"/>
  <c r="C10" i="4"/>
  <c r="C11" i="4"/>
  <c r="C12" i="4"/>
  <c r="C13" i="4"/>
  <c r="C14" i="4"/>
  <c r="C15" i="4"/>
  <c r="C16" i="4"/>
  <c r="C17" i="4"/>
  <c r="C18" i="4"/>
  <c r="C19" i="4"/>
  <c r="C20" i="4"/>
  <c r="C21" i="4"/>
  <c r="C22" i="4"/>
  <c r="C23" i="4"/>
  <c r="B6" i="4"/>
  <c r="B7" i="4"/>
  <c r="B8" i="4"/>
  <c r="B9" i="4"/>
  <c r="B10" i="4"/>
  <c r="B11" i="4"/>
  <c r="B12" i="4"/>
  <c r="B13" i="4"/>
  <c r="B14" i="4"/>
  <c r="B15" i="4"/>
  <c r="B16" i="4"/>
  <c r="B17" i="4"/>
  <c r="B18" i="4"/>
  <c r="B19" i="4"/>
  <c r="B20" i="4"/>
  <c r="B21" i="4"/>
  <c r="B22" i="4"/>
  <c r="B23" i="4"/>
  <c r="A21" i="4"/>
  <c r="A22" i="4"/>
  <c r="A23" i="4"/>
  <c r="A6" i="4"/>
  <c r="A7" i="4"/>
  <c r="A8" i="4"/>
  <c r="A9" i="4"/>
  <c r="A10" i="4"/>
  <c r="A11" i="4"/>
  <c r="A12" i="4"/>
  <c r="A13" i="4"/>
  <c r="A14" i="4"/>
  <c r="A15" i="4"/>
  <c r="A16" i="4"/>
  <c r="A17" i="4"/>
  <c r="A18" i="4"/>
  <c r="A19" i="4"/>
  <c r="A20" i="4"/>
  <c r="F4" i="4"/>
  <c r="E4" i="4"/>
  <c r="D4" i="4"/>
  <c r="C4" i="4"/>
  <c r="B4" i="4"/>
  <c r="A4" i="4"/>
  <c r="D5" i="3"/>
  <c r="D6" i="3"/>
  <c r="D7" i="3"/>
  <c r="D8" i="3"/>
  <c r="D9" i="3"/>
  <c r="D10" i="3"/>
  <c r="D11" i="3"/>
  <c r="C5" i="3"/>
  <c r="C6" i="3"/>
  <c r="C7" i="3"/>
  <c r="C8" i="3"/>
  <c r="C9" i="3"/>
  <c r="C10" i="3"/>
  <c r="C11" i="3"/>
  <c r="B5" i="3"/>
  <c r="B6" i="3"/>
  <c r="B7" i="3"/>
  <c r="B8" i="3"/>
  <c r="B9" i="3"/>
  <c r="B10" i="3"/>
  <c r="B11" i="3"/>
  <c r="A5" i="3"/>
  <c r="A6" i="3"/>
  <c r="A7" i="3"/>
  <c r="A8" i="3"/>
  <c r="A9" i="3"/>
  <c r="A10" i="3"/>
  <c r="A11" i="3"/>
  <c r="D4" i="3"/>
  <c r="C4" i="3"/>
  <c r="B4" i="3"/>
  <c r="A4" i="3"/>
  <c r="D5" i="2"/>
  <c r="D6" i="2"/>
  <c r="D7" i="2"/>
  <c r="D8" i="2"/>
  <c r="D9" i="2"/>
  <c r="D10" i="2"/>
  <c r="D11" i="2"/>
  <c r="D12" i="2"/>
  <c r="D13" i="2"/>
  <c r="D14" i="2"/>
  <c r="D15" i="2"/>
  <c r="D16" i="2"/>
  <c r="D17" i="2"/>
  <c r="D18" i="2"/>
  <c r="D19" i="2"/>
  <c r="D20" i="2"/>
  <c r="D21" i="2"/>
  <c r="D22" i="2"/>
  <c r="D23" i="2"/>
  <c r="D4" i="2"/>
  <c r="C5" i="2"/>
  <c r="C6" i="2"/>
  <c r="C7" i="2"/>
  <c r="C8" i="2"/>
  <c r="C9" i="2"/>
  <c r="C10" i="2"/>
  <c r="C11" i="2"/>
  <c r="C12" i="2"/>
  <c r="C13" i="2"/>
  <c r="C14" i="2"/>
  <c r="C15" i="2"/>
  <c r="C16" i="2"/>
  <c r="C17" i="2"/>
  <c r="C18" i="2"/>
  <c r="C19" i="2"/>
  <c r="C20" i="2"/>
  <c r="C21" i="2"/>
  <c r="C22" i="2"/>
  <c r="C23" i="2"/>
  <c r="C4" i="2"/>
  <c r="H5" i="2"/>
  <c r="H6" i="2"/>
  <c r="H7" i="2"/>
  <c r="H8" i="2"/>
  <c r="H9" i="2"/>
  <c r="H10" i="2"/>
  <c r="H11" i="2"/>
  <c r="H12" i="2"/>
  <c r="H13" i="2"/>
  <c r="H14" i="2"/>
  <c r="H15" i="2"/>
  <c r="H16" i="2"/>
  <c r="H17" i="2"/>
  <c r="H18" i="2"/>
  <c r="H19" i="2"/>
  <c r="H20" i="2"/>
  <c r="H21" i="2"/>
  <c r="H22" i="2"/>
  <c r="H23" i="2"/>
  <c r="G5" i="2"/>
  <c r="G6" i="2"/>
  <c r="G7" i="2"/>
  <c r="G8" i="2"/>
  <c r="G9" i="2"/>
  <c r="G10" i="2"/>
  <c r="G11" i="2"/>
  <c r="G12" i="2"/>
  <c r="G13" i="2"/>
  <c r="G14" i="2"/>
  <c r="G15" i="2"/>
  <c r="G16" i="2"/>
  <c r="G17" i="2"/>
  <c r="G18" i="2"/>
  <c r="G19" i="2"/>
  <c r="G20" i="2"/>
  <c r="G21" i="2"/>
  <c r="G22" i="2"/>
  <c r="G23" i="2"/>
  <c r="F5" i="2"/>
  <c r="F6" i="2"/>
  <c r="F7" i="2"/>
  <c r="F8" i="2"/>
  <c r="F9" i="2"/>
  <c r="F10" i="2"/>
  <c r="F11" i="2"/>
  <c r="F12" i="2"/>
  <c r="F13" i="2"/>
  <c r="F14" i="2"/>
  <c r="F15" i="2"/>
  <c r="F16" i="2"/>
  <c r="F17" i="2"/>
  <c r="F18" i="2"/>
  <c r="F19" i="2"/>
  <c r="F20" i="2"/>
  <c r="F21" i="2"/>
  <c r="F22" i="2"/>
  <c r="F23" i="2"/>
  <c r="E5" i="2"/>
  <c r="E6" i="2"/>
  <c r="E7" i="2"/>
  <c r="E8" i="2"/>
  <c r="E9" i="2"/>
  <c r="E10" i="2"/>
  <c r="E11" i="2"/>
  <c r="E12" i="2"/>
  <c r="E13" i="2"/>
  <c r="E14" i="2"/>
  <c r="E15" i="2"/>
  <c r="E16" i="2"/>
  <c r="E17" i="2"/>
  <c r="E18" i="2"/>
  <c r="E19" i="2"/>
  <c r="E20" i="2"/>
  <c r="E21" i="2"/>
  <c r="E22" i="2"/>
  <c r="E23" i="2"/>
  <c r="B5" i="2"/>
  <c r="B6" i="2"/>
  <c r="B7" i="2"/>
  <c r="B8" i="2"/>
  <c r="B9" i="2"/>
  <c r="B10" i="2"/>
  <c r="B11" i="2"/>
  <c r="B12" i="2"/>
  <c r="B13" i="2"/>
  <c r="B14" i="2"/>
  <c r="B15" i="2"/>
  <c r="B16" i="2"/>
  <c r="B17" i="2"/>
  <c r="B18" i="2"/>
  <c r="B19" i="2"/>
  <c r="B20" i="2"/>
  <c r="B21" i="2"/>
  <c r="B22" i="2"/>
  <c r="B23" i="2"/>
  <c r="A22" i="2"/>
  <c r="A23" i="2"/>
  <c r="A21" i="2"/>
  <c r="A5" i="2"/>
  <c r="A6" i="2"/>
  <c r="A7" i="2"/>
  <c r="A8" i="2"/>
  <c r="A9" i="2"/>
  <c r="A10" i="2"/>
  <c r="A11" i="2"/>
  <c r="A12" i="2"/>
  <c r="A13" i="2"/>
  <c r="A14" i="2"/>
  <c r="A15" i="2"/>
  <c r="A16" i="2"/>
  <c r="A17" i="2"/>
  <c r="A18" i="2"/>
  <c r="A19" i="2"/>
  <c r="A20" i="2"/>
  <c r="H4" i="2"/>
  <c r="G4" i="2"/>
  <c r="F4" i="2"/>
  <c r="E4" i="2"/>
  <c r="B4" i="2"/>
  <c r="A4" i="2"/>
  <c r="E5" i="4" l="1"/>
  <c r="F5" i="4" s="1"/>
  <c r="D5" i="4"/>
  <c r="C7" i="7"/>
</calcChain>
</file>

<file path=xl/sharedStrings.xml><?xml version="1.0" encoding="utf-8"?>
<sst xmlns="http://schemas.openxmlformats.org/spreadsheetml/2006/main" count="302" uniqueCount="140">
  <si>
    <t>Product Catalog</t>
  </si>
  <si>
    <t>Stock on Hand by Warehouse</t>
  </si>
  <si>
    <t>Sales Orders</t>
  </si>
  <si>
    <t>SKU</t>
  </si>
  <si>
    <t>Product Name</t>
  </si>
  <si>
    <t>Category</t>
  </si>
  <si>
    <t>Unit Cost</t>
  </si>
  <si>
    <t>Reorder Point</t>
  </si>
  <si>
    <t>West</t>
  </si>
  <si>
    <t>East</t>
  </si>
  <si>
    <t>Central</t>
  </si>
  <si>
    <t>Order ID</t>
  </si>
  <si>
    <t>Order Date</t>
  </si>
  <si>
    <t>Quantity</t>
  </si>
  <si>
    <t>Warehouse</t>
  </si>
  <si>
    <t>Channel</t>
  </si>
  <si>
    <t>SK001</t>
  </si>
  <si>
    <t xml:space="preserve">  wireless mouse</t>
  </si>
  <si>
    <t>Peripherals</t>
  </si>
  <si>
    <t>O001</t>
  </si>
  <si>
    <t>2026-01-05</t>
  </si>
  <si>
    <t>Online</t>
  </si>
  <si>
    <t>SK002</t>
  </si>
  <si>
    <t xml:space="preserve">USB Keyboard  </t>
  </si>
  <si>
    <t>O002</t>
  </si>
  <si>
    <t>2026-02-10</t>
  </si>
  <si>
    <t>Retail</t>
  </si>
  <si>
    <t>SK003</t>
  </si>
  <si>
    <t>27 inch Monitor</t>
  </si>
  <si>
    <t>Displays</t>
  </si>
  <si>
    <t>O003</t>
  </si>
  <si>
    <t>2026-03-02</t>
  </si>
  <si>
    <t>SK004</t>
  </si>
  <si>
    <t xml:space="preserve">  laptop stand</t>
  </si>
  <si>
    <t>Accessories</t>
  </si>
  <si>
    <t>O004</t>
  </si>
  <si>
    <t>2026-01-12</t>
  </si>
  <si>
    <t>SK005</t>
  </si>
  <si>
    <t>Webcam HD</t>
  </si>
  <si>
    <t>O005</t>
  </si>
  <si>
    <t>2026-02-20</t>
  </si>
  <si>
    <t>SK006</t>
  </si>
  <si>
    <t>Desk  Lamp LED</t>
  </si>
  <si>
    <t>O006</t>
  </si>
  <si>
    <t>2026-01-08</t>
  </si>
  <si>
    <t>SK007</t>
  </si>
  <si>
    <t>Noise Cancel Headset</t>
  </si>
  <si>
    <t>Audio</t>
  </si>
  <si>
    <t>O007</t>
  </si>
  <si>
    <t>2026-03-15</t>
  </si>
  <si>
    <t>SK008</t>
  </si>
  <si>
    <t xml:space="preserve">  Bluetooth Speaker</t>
  </si>
  <si>
    <t>O008</t>
  </si>
  <si>
    <t>2026-02-01</t>
  </si>
  <si>
    <t>O009</t>
  </si>
  <si>
    <t>2026-03-10</t>
  </si>
  <si>
    <t>O010</t>
  </si>
  <si>
    <t>2026-01-25</t>
  </si>
  <si>
    <t>O011</t>
  </si>
  <si>
    <t>2026-02-28</t>
  </si>
  <si>
    <t>O012</t>
  </si>
  <si>
    <t>2026-01-18</t>
  </si>
  <si>
    <t>O013</t>
  </si>
  <si>
    <t>2026-03-05</t>
  </si>
  <si>
    <t>O014</t>
  </si>
  <si>
    <t>2026-02-14</t>
  </si>
  <si>
    <t>O015</t>
  </si>
  <si>
    <t>2026-03-20</t>
  </si>
  <si>
    <t>O016</t>
  </si>
  <si>
    <t>2026-01-30</t>
  </si>
  <si>
    <t>O017</t>
  </si>
  <si>
    <t>2026-02-22</t>
  </si>
  <si>
    <t>O018</t>
  </si>
  <si>
    <t>2026-03-25</t>
  </si>
  <si>
    <t>O019</t>
  </si>
  <si>
    <t>2026-02-05</t>
  </si>
  <si>
    <t>O020</t>
  </si>
  <si>
    <t>2026-02-15</t>
  </si>
  <si>
    <t>Q1. Clean the Product Name column, convert the orders range into a formal Excel Table, and add a data validation dropdown for Category.</t>
  </si>
  <si>
    <t>Product Name (Cleaned)</t>
  </si>
  <si>
    <t>Q2. Flag each SKU Reorder Now or OK using IF, comparing its total stock across all 3 warehouses against its reorder point.</t>
  </si>
  <si>
    <t>Total Stock (SUM)</t>
  </si>
  <si>
    <t>Reorder Point (VLOOKUP)</t>
  </si>
  <si>
    <t>Flag (IF)</t>
  </si>
  <si>
    <t>Q3. VLOOKUP each order's Category and Unit Cost from the product catalog, wrapped in IFERROR.</t>
  </si>
  <si>
    <t>Category (VLOOKUP+IFERROR)</t>
  </si>
  <si>
    <t>Unit Cost (VLOOKUP+IFERROR)</t>
  </si>
  <si>
    <t>Line Value</t>
  </si>
  <si>
    <t>Q4. Build a two way lookup with INDEX and MATCH that returns stock on hand for any SKU and warehouse combination.</t>
  </si>
  <si>
    <t>Stock Grid (source)</t>
  </si>
  <si>
    <t>Try It: Two Way Lookup</t>
  </si>
  <si>
    <t>Type a SKU:</t>
  </si>
  <si>
    <t>Type a Warehouse:</t>
  </si>
  <si>
    <t>Result (INDEX and MATCH):</t>
  </si>
  <si>
    <t>Q5. Build a Pivot Table summarizing units sold and total sales value by Category and SKU.</t>
  </si>
  <si>
    <t>Live Pivot Table (right click, Refresh, to confirm it recalculates)</t>
  </si>
  <si>
    <t>Filter</t>
  </si>
  <si>
    <t>Data</t>
  </si>
  <si>
    <t>Sum - Quantity</t>
  </si>
  <si>
    <t>Sum - Line Value</t>
  </si>
  <si>
    <t>Total Sum - Quantity</t>
  </si>
  <si>
    <t>Total Sum - Line Value</t>
  </si>
  <si>
    <t>Q6. Add formulas that pull units sold from your answer sheets, rank each SKU by units sold (Show Values As), and calculate each category's percent of total sales value.</t>
  </si>
  <si>
    <t>Fill the block below with independent SUMIF and RANK formulas — those are what is marked. Then, if you want the practice, write the same numbers again with GETPIVOTDATA against your Sheet6 pivot and check the two agree. GETPIVOTDATA reads a PivotTable's cached values rather than calculating them, so it is not automatically marked.</t>
  </si>
  <si>
    <t>Units Sold</t>
  </si>
  <si>
    <t>Rank (Show Values As)</t>
  </si>
  <si>
    <t>Total Sales Value</t>
  </si>
  <si>
    <t>Percent of Total</t>
  </si>
  <si>
    <t>Q7. Build a chart visualizing units sold by SKU, ranked highest to lowest, to find the 80 over 20 cut.</t>
  </si>
  <si>
    <t>Note: Treemap, Waterfall and Funnel chart types are not available in this environment. A ranked bar chart is the closest genuine substitute.</t>
  </si>
  <si>
    <t>Q8. Add a Slicer for Category and a Timeline for Order Date to your pivot table, connected so both filter it live.</t>
  </si>
  <si>
    <t>IMPORTANT, this feature must be built live in Excel</t>
  </si>
  <si>
    <t>A Slicer and a Timeline are genuine interactive Excel buttons, not something a script can generate inside a file. Click your Sheet6 pivot, then Insert, Slicer, choose Category, and Insert, Timeline, choose Order Date, exactly as taught in Module 7. Once built, clicking Peripherals on your Slicer should produce the same units sold shown below.</t>
  </si>
  <si>
    <t>Expected results once your Slicer is built (verified independently, for you to check against)</t>
  </si>
  <si>
    <t>Slicer Selection</t>
  </si>
  <si>
    <t>Units Sold Shown</t>
  </si>
  <si>
    <t>Category = Peripherals</t>
  </si>
  <si>
    <t>Category = Displays</t>
  </si>
  <si>
    <t>Category = Accessories</t>
  </si>
  <si>
    <t>Category = Audio</t>
  </si>
  <si>
    <t>Q9. Build an Interactive Dashboard bringing together the pivot, the Slicer and Timeline from Q8, a chart, and key KPIs, and use Goal Seek for the SK007 reorder quantity.</t>
  </si>
  <si>
    <t>Total Units Sold</t>
  </si>
  <si>
    <t>SKUs Needing Reorder</t>
  </si>
  <si>
    <t>Top Selling SKU</t>
  </si>
  <si>
    <t>Top SKU Units</t>
  </si>
  <si>
    <t>402</t>
  </si>
  <si>
    <t>Rs 773,000</t>
  </si>
  <si>
    <t>2</t>
  </si>
  <si>
    <t>130</t>
  </si>
  <si>
    <t>Reminder: connect your Slicer and Timeline from Sheet9 to this dashboard's pivot and chart too.</t>
  </si>
  <si>
    <t>Goal Seek: SK007 Reorder Quantity</t>
  </si>
  <si>
    <t>Average daily units sold (90 day window)</t>
  </si>
  <si>
    <t>Current SK007 stock</t>
  </si>
  <si>
    <t>Target days of stock cover</t>
  </si>
  <si>
    <t>Additional units to order</t>
  </si>
  <si>
    <t>Row Labels</t>
  </si>
  <si>
    <t>Grand Total</t>
  </si>
  <si>
    <t>Sum of Quantity</t>
  </si>
  <si>
    <t>Sum of Line Value</t>
  </si>
  <si>
    <t>Projected Days of Stock 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</si>
</sst>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charset val="1"/>
    </font>
    <font>
      <sz val="10"/>
      <name val="Arial"/>
    </font>
    <font>
      <b/>
      <sz val="11"/>
      <color theme="1"/>
      <name val="Calibri"/>
      <family val="2"/>
      <charset val="1"/>
    </font>
    <font>
      <b/>
      <sz val="11"/>
      <color rgb="FF6D28D9"/>
      <name val="Cambria"/>
      <charset val="1"/>
    </font>
    <font>
      <b/>
      <sz val="11"/>
      <color rgb="FFFFFFFF"/>
      <name val="Cambria"/>
      <charset val="1"/>
    </font>
    <font>
      <b/>
      <sz val="13"/>
      <color rgb="FF6D28D9"/>
      <name val="Cambria"/>
      <charset val="1"/>
    </font>
    <font>
      <b/>
      <sz val="12"/>
      <color rgb="FF6D28D9"/>
      <name val="Cambria"/>
      <charset val="1"/>
    </font>
    <font>
      <b/>
      <sz val="11"/>
      <name val="Cambria"/>
      <charset val="1"/>
    </font>
    <font>
      <b/>
      <sz val="14"/>
      <color rgb="FF0F7A4D"/>
      <name val="Cambria"/>
      <charset val="1"/>
    </font>
    <font>
      <i/>
      <sz val="10"/>
      <color rgb="FF0F7A4D"/>
      <name val="Cambria"/>
      <charset val="1"/>
    </font>
    <font>
      <b/>
      <sz val="11"/>
      <color rgb="FFD97706"/>
      <name val="Cambria"/>
      <charset val="1"/>
    </font>
    <font>
      <b/>
      <sz val="11"/>
      <color rgb="FF0F7A4D"/>
      <name val="Cambria"/>
      <charset val="1"/>
    </font>
    <font>
      <sz val="11"/>
      <color theme="1"/>
      <name val="Calibri"/>
      <family val="2"/>
      <charset val="1"/>
    </font>
  </fonts>
  <fills count="3">
    <fill>
      <patternFill patternType="none"/>
    </fill>
    <fill>
      <patternFill patternType="gray125"/>
    </fill>
    <fill>
      <patternFill patternType="solid">
        <fgColor rgb="FF141C4B"/>
        <bgColor rgb="FF000080"/>
      </patternFill>
    </fill>
  </fills>
  <borders count="18">
    <border>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right style="thin">
        <color auto="1"/>
      </right>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s>
  <cellStyleXfs count="8">
    <xf numFmtId="0" fontId="0" fillId="0" borderId="0"/>
    <xf numFmtId="9" fontId="1" fillId="0" borderId="0"/>
    <xf numFmtId="0" fontId="12" fillId="0" borderId="0">
      <alignment horizontal="left"/>
    </xf>
    <xf numFmtId="0" fontId="12" fillId="0" borderId="0"/>
    <xf numFmtId="0" fontId="12" fillId="0" borderId="0"/>
    <xf numFmtId="0" fontId="2" fillId="0" borderId="0"/>
    <xf numFmtId="0" fontId="2" fillId="0" borderId="0">
      <alignment horizontal="left"/>
    </xf>
    <xf numFmtId="0" fontId="12" fillId="0" borderId="0"/>
  </cellStyleXfs>
  <cellXfs count="42">
    <xf numFmtId="0" fontId="0" fillId="0" borderId="0" xfId="0"/>
    <xf numFmtId="0" fontId="3" fillId="0" borderId="0" xfId="0" applyFont="1"/>
    <xf numFmtId="0" fontId="4" fillId="2" borderId="0" xfId="0" applyFont="1" applyFill="1"/>
    <xf numFmtId="164" fontId="0" fillId="0" borderId="0" xfId="0" applyNumberFormat="1"/>
    <xf numFmtId="0" fontId="6" fillId="0" borderId="0" xfId="0" applyFont="1"/>
    <xf numFmtId="0" fontId="7" fillId="0" borderId="0" xfId="0" applyFont="1"/>
    <xf numFmtId="0" fontId="8"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xf numFmtId="0" fontId="0" fillId="0" borderId="9" xfId="0"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11" xfId="0" applyBorder="1"/>
    <xf numFmtId="0" fontId="0" fillId="0" borderId="12" xfId="0" applyBorder="1"/>
    <xf numFmtId="0" fontId="0" fillId="0" borderId="13" xfId="0" applyBorder="1"/>
    <xf numFmtId="0" fontId="2" fillId="0" borderId="9" xfId="0" applyFont="1" applyBorder="1" applyAlignment="1">
      <alignment horizontal="left"/>
    </xf>
    <xf numFmtId="0" fontId="2" fillId="0" borderId="0" xfId="0" applyFont="1" applyAlignment="1">
      <alignment horizontal="left"/>
    </xf>
    <xf numFmtId="0" fontId="2" fillId="0" borderId="10" xfId="0" applyFont="1" applyBorder="1" applyAlignment="1">
      <alignment horizontal="left"/>
    </xf>
    <xf numFmtId="0" fontId="2" fillId="0" borderId="8" xfId="0" applyFont="1" applyBorder="1"/>
    <xf numFmtId="0" fontId="2" fillId="0" borderId="14" xfId="0" applyFont="1" applyBorder="1" applyAlignment="1">
      <alignment horizontal="left"/>
    </xf>
    <xf numFmtId="0" fontId="2" fillId="0" borderId="15" xfId="0" applyFont="1" applyBorder="1" applyAlignment="1">
      <alignment horizontal="left"/>
    </xf>
    <xf numFmtId="0" fontId="2" fillId="0" borderId="16" xfId="0" applyFont="1" applyBorder="1" applyAlignment="1">
      <alignment horizontal="left"/>
    </xf>
    <xf numFmtId="0" fontId="2" fillId="0" borderId="17" xfId="0" applyFont="1" applyBorder="1"/>
    <xf numFmtId="0" fontId="10" fillId="0" borderId="0" xfId="0" applyFont="1"/>
    <xf numFmtId="0" fontId="11" fillId="0" borderId="0" xfId="0" applyFont="1"/>
    <xf numFmtId="49" fontId="0" fillId="0" borderId="0" xfId="0" applyNumberFormat="1"/>
    <xf numFmtId="0" fontId="5" fillId="0" borderId="0" xfId="0" applyFont="1"/>
    <xf numFmtId="0" fontId="0" fillId="0" borderId="0" xfId="0"/>
    <xf numFmtId="0" fontId="6" fillId="0" borderId="0" xfId="0" applyFont="1"/>
    <xf numFmtId="0" fontId="9" fillId="0" borderId="0" xfId="0" applyFont="1" applyAlignment="1">
      <alignment wrapText="1"/>
    </xf>
    <xf numFmtId="0" fontId="0" fillId="0" borderId="0" xfId="0" applyAlignment="1">
      <alignment vertical="top" wrapText="1"/>
    </xf>
    <xf numFmtId="0" fontId="0" fillId="0" borderId="0" xfId="0" pivotButton="1"/>
    <xf numFmtId="0" fontId="0" fillId="0" borderId="0" xfId="0" applyAlignment="1">
      <alignment horizontal="left" indent="1"/>
    </xf>
    <xf numFmtId="0" fontId="0" fillId="0" borderId="0" xfId="0" applyNumberFormat="1"/>
    <xf numFmtId="10" fontId="1" fillId="0" borderId="0" xfId="1" applyNumberFormat="1"/>
    <xf numFmtId="14" fontId="0" fillId="0" borderId="0" xfId="0" applyNumberFormat="1"/>
  </cellXfs>
  <cellStyles count="8">
    <cellStyle name="Normal" xfId="0" builtinId="0"/>
    <cellStyle name="Percent" xfId="1" builtinId="5"/>
    <cellStyle name="Pivot Table Category" xfId="2" xr:uid="{00000000-0005-0000-0000-000006000000}"/>
    <cellStyle name="Pivot Table Corner" xfId="3" xr:uid="{00000000-0005-0000-0000-000007000000}"/>
    <cellStyle name="Pivot Table Field" xfId="4" xr:uid="{00000000-0005-0000-0000-000008000000}"/>
    <cellStyle name="Pivot Table Result" xfId="5" xr:uid="{00000000-0005-0000-0000-000009000000}"/>
    <cellStyle name="Pivot Table Title" xfId="6" xr:uid="{00000000-0005-0000-0000-00000A000000}"/>
    <cellStyle name="Pivot Table Value" xfId="7" xr:uid="{00000000-0005-0000-0000-00000B000000}"/>
  </cellStyles>
  <dxfs count="1">
    <dxf>
      <font>
        <b/>
        <i val="0"/>
        <strike val="0"/>
        <condense val="0"/>
        <extend val="0"/>
        <outline val="0"/>
        <shadow val="0"/>
        <u val="none"/>
        <vertAlign val="baseline"/>
        <sz val="11"/>
        <color rgb="FFFFFFFF"/>
        <name val="Cambria"/>
        <charset val="1"/>
        <scheme val="none"/>
      </font>
      <fill>
        <patternFill patternType="solid">
          <fgColor rgb="FF000080"/>
          <bgColor rgb="FF141C4B"/>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F7A4D"/>
      <rgbColor rgb="FFB3B3B3"/>
      <rgbColor rgb="FF808080"/>
      <rgbColor rgb="FF9999FF"/>
      <rgbColor rgb="FF993366"/>
      <rgbColor rgb="FFFE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320"/>
      <rgbColor rgb="FFFF9900"/>
      <rgbColor rgb="FFD97706"/>
      <rgbColor rgb="FF666699"/>
      <rgbColor rgb="FF969696"/>
      <rgbColor rgb="FF004586"/>
      <rgbColor rgb="FF579D1C"/>
      <rgbColor rgb="FF003300"/>
      <rgbColor rgb="FF333300"/>
      <rgbColor rgb="FFFF420E"/>
      <rgbColor rgb="FF993366"/>
      <rgbColor rgb="FF6D28D9"/>
      <rgbColor rgb="FF141C4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 Sold by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'Sheet8 - Q7 Answer'!$B$3</c:f>
              <c:strCache>
                <c:ptCount val="1"/>
                <c:pt idx="0">
                  <c:v>Units Sold</c:v>
                </c:pt>
              </c:strCache>
            </c:strRef>
          </c:tx>
          <c:spPr>
            <a:solidFill>
              <a:schemeClr val="accent1"/>
            </a:solidFill>
            <a:ln>
              <a:noFill/>
            </a:ln>
            <a:effectLst/>
          </c:spPr>
          <c:invertIfNegative val="0"/>
          <c:cat>
            <c:strRef>
              <c:f>'Sheet8 - Q7 Answer'!$A$4:$A$11</c:f>
              <c:strCache>
                <c:ptCount val="8"/>
                <c:pt idx="0">
                  <c:v>SK001</c:v>
                </c:pt>
                <c:pt idx="1">
                  <c:v>SK006</c:v>
                </c:pt>
                <c:pt idx="2">
                  <c:v>SK002</c:v>
                </c:pt>
                <c:pt idx="3">
                  <c:v>SK008</c:v>
                </c:pt>
                <c:pt idx="4">
                  <c:v>SK004</c:v>
                </c:pt>
                <c:pt idx="5">
                  <c:v>SK003</c:v>
                </c:pt>
                <c:pt idx="6">
                  <c:v>SK005</c:v>
                </c:pt>
                <c:pt idx="7">
                  <c:v>SK007</c:v>
                </c:pt>
              </c:strCache>
            </c:strRef>
          </c:cat>
          <c:val>
            <c:numRef>
              <c:f>'Sheet8 - Q7 Answer'!$B$4:$B$11</c:f>
              <c:numCache>
                <c:formatCode>General</c:formatCode>
                <c:ptCount val="8"/>
                <c:pt idx="0">
                  <c:v>130</c:v>
                </c:pt>
                <c:pt idx="1">
                  <c:v>78</c:v>
                </c:pt>
                <c:pt idx="2">
                  <c:v>40</c:v>
                </c:pt>
                <c:pt idx="3">
                  <c:v>40</c:v>
                </c:pt>
                <c:pt idx="4">
                  <c:v>35</c:v>
                </c:pt>
                <c:pt idx="5">
                  <c:v>30</c:v>
                </c:pt>
                <c:pt idx="6">
                  <c:v>30</c:v>
                </c:pt>
                <c:pt idx="7">
                  <c:v>19</c:v>
                </c:pt>
              </c:numCache>
            </c:numRef>
          </c:val>
          <c:extLst>
            <c:ext xmlns:c16="http://schemas.microsoft.com/office/drawing/2014/chart" uri="{C3380CC4-5D6E-409C-BE32-E72D297353CC}">
              <c16:uniqueId val="{00000000-2A45-459D-86E6-7BF5FBED5799}"/>
            </c:ext>
          </c:extLst>
        </c:ser>
        <c:dLbls>
          <c:showLegendKey val="0"/>
          <c:showVal val="0"/>
          <c:showCatName val="0"/>
          <c:showSerName val="0"/>
          <c:showPercent val="0"/>
          <c:showBubbleSize val="0"/>
        </c:dLbls>
        <c:gapWidth val="219"/>
        <c:overlap val="-27"/>
        <c:axId val="555675744"/>
        <c:axId val="461544784"/>
      </c:barChart>
      <c:catAx>
        <c:axId val="55567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44784"/>
        <c:crosses val="autoZero"/>
        <c:auto val="1"/>
        <c:lblAlgn val="ctr"/>
        <c:lblOffset val="100"/>
        <c:noMultiLvlLbl val="0"/>
      </c:catAx>
      <c:valAx>
        <c:axId val="46154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67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777240</xdr:colOff>
      <xdr:row>1</xdr:row>
      <xdr:rowOff>156210</xdr:rowOff>
    </xdr:from>
    <xdr:to>
      <xdr:col>8</xdr:col>
      <xdr:colOff>594360</xdr:colOff>
      <xdr:row>18</xdr:row>
      <xdr:rowOff>49530</xdr:rowOff>
    </xdr:to>
    <xdr:graphicFrame macro="">
      <xdr:nvGraphicFramePr>
        <xdr:cNvPr id="2" name="Chart 1">
          <a:extLst>
            <a:ext uri="{FF2B5EF4-FFF2-40B4-BE49-F238E27FC236}">
              <a16:creationId xmlns:a16="http://schemas.microsoft.com/office/drawing/2014/main" id="{A0C14735-F7A9-7CA8-0374-CF63575D3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10</xdr:row>
      <xdr:rowOff>0</xdr:rowOff>
    </xdr:from>
    <xdr:to>
      <xdr:col>8</xdr:col>
      <xdr:colOff>45720</xdr:colOff>
      <xdr:row>23</xdr:row>
      <xdr:rowOff>51435</xdr:rowOff>
    </xdr:to>
    <mc:AlternateContent xmlns:mc="http://schemas.openxmlformats.org/markup-compatibility/2006">
      <mc:Choice xmlns:a14="http://schemas.microsoft.com/office/drawing/2010/main" Requires="a14">
        <xdr:graphicFrame macro="">
          <xdr:nvGraphicFramePr>
            <xdr:cNvPr id="2" name="Category (VLOOKUP+IFERROR)">
              <a:extLst>
                <a:ext uri="{FF2B5EF4-FFF2-40B4-BE49-F238E27FC236}">
                  <a16:creationId xmlns:a16="http://schemas.microsoft.com/office/drawing/2014/main" id="{D4295BE2-6034-45F8-AB3D-DB74AA90D34F}"/>
                </a:ext>
              </a:extLst>
            </xdr:cNvPr>
            <xdr:cNvGraphicFramePr/>
          </xdr:nvGraphicFramePr>
          <xdr:xfrm>
            <a:off x="0" y="0"/>
            <a:ext cx="0" cy="0"/>
          </xdr:xfrm>
          <a:graphic>
            <a:graphicData uri="http://schemas.microsoft.com/office/drawing/2010/slicer">
              <sle:slicer xmlns:sle="http://schemas.microsoft.com/office/drawing/2010/slicer" name="Category (VLOOKUP+IFERROR)"/>
            </a:graphicData>
          </a:graphic>
        </xdr:graphicFrame>
      </mc:Choice>
      <mc:Fallback>
        <xdr:sp macro="" textlink="">
          <xdr:nvSpPr>
            <xdr:cNvPr id="0" name=""/>
            <xdr:cNvSpPr>
              <a:spLocks noTextEdit="1"/>
            </xdr:cNvSpPr>
          </xdr:nvSpPr>
          <xdr:spPr>
            <a:xfrm>
              <a:off x="5212080" y="2461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10</xdr:row>
      <xdr:rowOff>0</xdr:rowOff>
    </xdr:from>
    <xdr:to>
      <xdr:col>13</xdr:col>
      <xdr:colOff>365760</xdr:colOff>
      <xdr:row>17</xdr:row>
      <xdr:rowOff>53340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21EE8B57-ED12-44CB-8C4B-7DE707400AC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995160" y="24612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thul Shankar" refreshedDate="46311.62198113426" createdVersion="8" refreshedVersion="8" minRefreshableVersion="3" recordCount="20" xr:uid="{30D6AA8E-C7B2-4853-BAA5-CC983D46C73F}">
  <cacheSource type="worksheet">
    <worksheetSource ref="A3:G23" sheet="Sheet4 - Q3 Answer"/>
  </cacheSource>
  <cacheFields count="7">
    <cacheField name="Order ID" numFmtId="0">
      <sharedItems/>
    </cacheField>
    <cacheField name="SKU" numFmtId="0">
      <sharedItems count="8">
        <s v="SK001"/>
        <s v="SK002"/>
        <s v="SK003"/>
        <s v="SK004"/>
        <s v="SK005"/>
        <s v="SK006"/>
        <s v="SK007"/>
        <s v="SK008"/>
      </sharedItems>
    </cacheField>
    <cacheField name="Quantity" numFmtId="0">
      <sharedItems containsSemiMixedTypes="0" containsString="0" containsNumber="1" containsInteger="1" minValue="8" maxValue="40"/>
    </cacheField>
    <cacheField name="Category (VLOOKUP+IFERROR)" numFmtId="0">
      <sharedItems count="4">
        <s v="Peripherals"/>
        <s v="Displays"/>
        <s v="Accessories"/>
        <s v="Audio"/>
      </sharedItems>
    </cacheField>
    <cacheField name="Unit Cost (VLOOKUP+IFERROR)" numFmtId="0">
      <sharedItems containsSemiMixedTypes="0" containsString="0" containsNumber="1" containsInteger="1" minValue="450" maxValue="12500"/>
    </cacheField>
    <cacheField name="Line Value" numFmtId="0">
      <sharedItems containsSemiMixedTypes="0" containsString="0" containsNumber="1" containsInteger="1" minValue="11250" maxValue="150000"/>
    </cacheField>
    <cacheField name="Order Date" numFmtId="14">
      <sharedItems containsSemiMixedTypes="0" containsNonDate="0" containsDate="1" containsString="0" minDate="2026-01-05T00:00:00" maxDate="2026-03-26T00:00:00" count="20">
        <d v="2026-01-05T00:00:00"/>
        <d v="2026-02-10T00:00:00"/>
        <d v="2026-03-02T00:00:00"/>
        <d v="2026-01-12T00:00:00"/>
        <d v="2026-02-20T00:00:00"/>
        <d v="2026-01-08T00:00:00"/>
        <d v="2026-03-15T00:00:00"/>
        <d v="2026-02-01T00:00:00"/>
        <d v="2026-03-10T00:00:00"/>
        <d v="2026-01-25T00:00:00"/>
        <d v="2026-02-28T00:00:00"/>
        <d v="2026-01-18T00:00:00"/>
        <d v="2026-03-05T00:00:00"/>
        <d v="2026-02-14T00:00:00"/>
        <d v="2026-03-20T00:00:00"/>
        <d v="2026-01-30T00:00:00"/>
        <d v="2026-02-22T00:00:00"/>
        <d v="2026-03-25T00:00:00"/>
        <d v="2026-02-05T00:00:00"/>
        <d v="2026-02-15T00:00:00"/>
      </sharedItems>
    </cacheField>
  </cacheFields>
  <extLst>
    <ext xmlns:x14="http://schemas.microsoft.com/office/spreadsheetml/2009/9/main" uri="{725AE2AE-9491-48be-B2B4-4EB974FC3084}">
      <x14:pivotCacheDefinition pivotCacheId="383006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001"/>
    <x v="0"/>
    <n v="25"/>
    <x v="0"/>
    <n v="450"/>
    <n v="11250"/>
    <x v="0"/>
  </r>
  <r>
    <s v="O002"/>
    <x v="0"/>
    <n v="30"/>
    <x v="0"/>
    <n v="450"/>
    <n v="13500"/>
    <x v="1"/>
  </r>
  <r>
    <s v="O003"/>
    <x v="0"/>
    <n v="40"/>
    <x v="0"/>
    <n v="450"/>
    <n v="18000"/>
    <x v="2"/>
  </r>
  <r>
    <s v="O004"/>
    <x v="1"/>
    <n v="18"/>
    <x v="0"/>
    <n v="650"/>
    <n v="11700"/>
    <x v="3"/>
  </r>
  <r>
    <s v="O005"/>
    <x v="1"/>
    <n v="22"/>
    <x v="0"/>
    <n v="650"/>
    <n v="14300"/>
    <x v="4"/>
  </r>
  <r>
    <s v="O006"/>
    <x v="2"/>
    <n v="8"/>
    <x v="1"/>
    <n v="12500"/>
    <n v="100000"/>
    <x v="5"/>
  </r>
  <r>
    <s v="O007"/>
    <x v="2"/>
    <n v="12"/>
    <x v="1"/>
    <n v="12500"/>
    <n v="150000"/>
    <x v="6"/>
  </r>
  <r>
    <s v="O008"/>
    <x v="3"/>
    <n v="15"/>
    <x v="2"/>
    <n v="900"/>
    <n v="13500"/>
    <x v="7"/>
  </r>
  <r>
    <s v="O009"/>
    <x v="3"/>
    <n v="20"/>
    <x v="2"/>
    <n v="900"/>
    <n v="18000"/>
    <x v="8"/>
  </r>
  <r>
    <s v="O010"/>
    <x v="4"/>
    <n v="14"/>
    <x v="0"/>
    <n v="2200"/>
    <n v="30800"/>
    <x v="9"/>
  </r>
  <r>
    <s v="O011"/>
    <x v="4"/>
    <n v="16"/>
    <x v="0"/>
    <n v="2200"/>
    <n v="35200"/>
    <x v="10"/>
  </r>
  <r>
    <s v="O012"/>
    <x v="5"/>
    <n v="28"/>
    <x v="2"/>
    <n v="750"/>
    <n v="21000"/>
    <x v="11"/>
  </r>
  <r>
    <s v="O013"/>
    <x v="5"/>
    <n v="32"/>
    <x v="2"/>
    <n v="750"/>
    <n v="24000"/>
    <x v="12"/>
  </r>
  <r>
    <s v="O014"/>
    <x v="6"/>
    <n v="10"/>
    <x v="3"/>
    <n v="4500"/>
    <n v="45000"/>
    <x v="13"/>
  </r>
  <r>
    <s v="O015"/>
    <x v="6"/>
    <n v="9"/>
    <x v="3"/>
    <n v="4500"/>
    <n v="40500"/>
    <x v="14"/>
  </r>
  <r>
    <s v="O016"/>
    <x v="7"/>
    <n v="19"/>
    <x v="3"/>
    <n v="1800"/>
    <n v="34200"/>
    <x v="15"/>
  </r>
  <r>
    <s v="O017"/>
    <x v="7"/>
    <n v="21"/>
    <x v="3"/>
    <n v="1800"/>
    <n v="37800"/>
    <x v="16"/>
  </r>
  <r>
    <s v="O018"/>
    <x v="0"/>
    <n v="35"/>
    <x v="0"/>
    <n v="450"/>
    <n v="15750"/>
    <x v="17"/>
  </r>
  <r>
    <s v="O019"/>
    <x v="2"/>
    <n v="10"/>
    <x v="1"/>
    <n v="12500"/>
    <n v="125000"/>
    <x v="18"/>
  </r>
  <r>
    <s v="O020"/>
    <x v="5"/>
    <n v="18"/>
    <x v="2"/>
    <n v="750"/>
    <n v="13500"/>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8AD94E-540F-4669-90C7-5071D72A0ED3}" name="PivotTable1"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7:H20" firstHeaderRow="0" firstDataRow="1" firstDataCol="1"/>
  <pivotFields count="7">
    <pivotField showAll="0"/>
    <pivotField axis="axisRow" showAll="0">
      <items count="9">
        <item x="0"/>
        <item x="1"/>
        <item x="2"/>
        <item x="3"/>
        <item x="4"/>
        <item x="5"/>
        <item x="6"/>
        <item x="7"/>
        <item t="default"/>
      </items>
    </pivotField>
    <pivotField dataField="1" showAll="0"/>
    <pivotField axis="axisRow" showAll="0">
      <items count="5">
        <item x="2"/>
        <item x="3"/>
        <item x="1"/>
        <item x="0"/>
        <item t="default"/>
      </items>
    </pivotField>
    <pivotField showAll="0"/>
    <pivotField dataField="1" showAll="0"/>
    <pivotField showAll="0">
      <items count="21">
        <item x="0"/>
        <item x="5"/>
        <item x="3"/>
        <item x="11"/>
        <item x="9"/>
        <item x="15"/>
        <item x="7"/>
        <item x="18"/>
        <item x="1"/>
        <item x="13"/>
        <item x="19"/>
        <item x="4"/>
        <item x="16"/>
        <item x="10"/>
        <item x="2"/>
        <item x="12"/>
        <item x="8"/>
        <item x="6"/>
        <item x="14"/>
        <item x="17"/>
        <item t="default"/>
      </items>
    </pivotField>
  </pivotFields>
  <rowFields count="2">
    <field x="3"/>
    <field x="1"/>
  </rowFields>
  <rowItems count="13">
    <i>
      <x/>
    </i>
    <i r="1">
      <x v="3"/>
    </i>
    <i r="1">
      <x v="5"/>
    </i>
    <i>
      <x v="1"/>
    </i>
    <i r="1">
      <x v="6"/>
    </i>
    <i r="1">
      <x v="7"/>
    </i>
    <i>
      <x v="2"/>
    </i>
    <i r="1">
      <x v="2"/>
    </i>
    <i>
      <x v="3"/>
    </i>
    <i r="1">
      <x/>
    </i>
    <i r="1">
      <x v="1"/>
    </i>
    <i r="1">
      <x v="4"/>
    </i>
    <i t="grand">
      <x/>
    </i>
  </rowItems>
  <colFields count="1">
    <field x="-2"/>
  </colFields>
  <colItems count="2">
    <i>
      <x/>
    </i>
    <i i="1">
      <x v="1"/>
    </i>
  </colItems>
  <dataFields count="2">
    <dataField name="Sum of Quantity" fld="2" baseField="0" baseItem="0"/>
    <dataField name="Sum of Line Val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VLOOKUP_IFERROR" xr10:uid="{6745D9BA-1F10-4A35-80B4-76E1FDA6E084}" sourceName="Category (VLOOKUP+IFERROR)">
  <pivotTables>
    <pivotTable tabId="6" name="PivotTable1"/>
  </pivotTables>
  <data>
    <tabular pivotCacheId="383006398">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VLOOKUP+IFERROR)" xr10:uid="{723DC855-5994-4F7E-ABC7-CC79A6D163D9}" cache="Slicer_Category__VLOOKUP_IFERROR" caption="Category (VLOOKUP+IFERR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3C837C-5BD7-4691-8B01-5A6248CE5524}" name="Table1" displayName="Table1" ref="A3:H23" totalsRowShown="0" headerRowDxfId="0">
  <autoFilter ref="A3:H23" xr:uid="{FC3C837C-5BD7-4691-8B01-5A6248CE5524}"/>
  <tableColumns count="8">
    <tableColumn id="1" xr3:uid="{5EEAAACC-D474-4B22-BA36-6C16EA1DC43F}" name="Order ID">
      <calculatedColumnFormula>'Sheet1 - Dataset'!K3</calculatedColumnFormula>
    </tableColumn>
    <tableColumn id="2" xr3:uid="{6387A454-3811-4082-B905-DFAF92E2476B}" name="SKU">
      <calculatedColumnFormula>'Sheet1 - Dataset'!L3</calculatedColumnFormula>
    </tableColumn>
    <tableColumn id="3" xr3:uid="{4B8A619A-C5B5-4E49-A857-FC20ACD56A98}" name="Product Name (Cleaned)">
      <calculatedColumnFormula>PROPER(TRIM(VLOOKUP(B4,'Sheet1 - Dataset'!$A$3:$E$10,2,FALSE)))</calculatedColumnFormula>
    </tableColumn>
    <tableColumn id="4" xr3:uid="{E2B51603-77FB-440B-A071-4EC539D66999}" name="Category">
      <calculatedColumnFormula>IFERROR(VLOOKUP(B4,'Sheet1 - Dataset'!$A$3:$E$10,3,FALSE),"Not Found")</calculatedColumnFormula>
    </tableColumn>
    <tableColumn id="5" xr3:uid="{7CCFD9C6-B6B5-4604-8825-1C0BA8B2C15E}" name="Order Date">
      <calculatedColumnFormula>'Sheet1 - Dataset'!M3</calculatedColumnFormula>
    </tableColumn>
    <tableColumn id="6" xr3:uid="{65D6F430-4514-49CE-BD0F-361921F1F16F}" name="Quantity">
      <calculatedColumnFormula>'Sheet1 - Dataset'!N3</calculatedColumnFormula>
    </tableColumn>
    <tableColumn id="7" xr3:uid="{0416276C-9E07-477E-A235-041E070350FA}" name="Warehouse">
      <calculatedColumnFormula>'Sheet1 - Dataset'!O3</calculatedColumnFormula>
    </tableColumn>
    <tableColumn id="8" xr3:uid="{4084012C-1AB3-4229-B035-4128A3AAAD8E}" name="Channel">
      <calculatedColumnFormula>'Sheet1 - Dataset'!P3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7312361-DA17-4AF2-B032-00A2C235F548}" sourceName="Order Date">
  <pivotTables>
    <pivotTable tabId="6" name="PivotTable1"/>
  </pivotTables>
  <state minimalRefreshVersion="6" lastRefreshVersion="6" pivotCacheId="38300639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7B9E12-D554-4AD5-B7C9-9B818583ED2E}" cache="NativeTimeline_Order_Date" caption="Order Date" level="2" selectionLevel="2" scrollPosition="2026-06-06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topLeftCell="P1" zoomScaleNormal="100" workbookViewId="0"/>
  </sheetViews>
  <sheetFormatPr defaultColWidth="8.6640625" defaultRowHeight="14.4" x14ac:dyDescent="0.3"/>
  <cols>
    <col min="1" max="1" width="8" customWidth="1"/>
    <col min="2" max="2" width="20" customWidth="1"/>
    <col min="3" max="3" width="14" customWidth="1"/>
    <col min="4" max="4" width="10" customWidth="1"/>
    <col min="5" max="5" width="13" customWidth="1"/>
    <col min="6" max="6" width="3" customWidth="1"/>
    <col min="7" max="10" width="8" customWidth="1"/>
    <col min="11" max="11" width="3" customWidth="1"/>
    <col min="12" max="13" width="10" customWidth="1"/>
    <col min="14" max="14" width="12" customWidth="1"/>
    <col min="15" max="16" width="10" customWidth="1"/>
  </cols>
  <sheetData>
    <row r="1" spans="1:16" ht="15" customHeight="1" x14ac:dyDescent="0.3">
      <c r="A1" s="1" t="s">
        <v>0</v>
      </c>
      <c r="G1" s="1" t="s">
        <v>1</v>
      </c>
      <c r="L1" s="1" t="s">
        <v>2</v>
      </c>
    </row>
    <row r="2" spans="1:16" ht="15" customHeight="1" x14ac:dyDescent="0.3">
      <c r="A2" s="2" t="s">
        <v>3</v>
      </c>
      <c r="B2" s="2" t="s">
        <v>4</v>
      </c>
      <c r="C2" s="2" t="s">
        <v>5</v>
      </c>
      <c r="D2" s="2" t="s">
        <v>6</v>
      </c>
      <c r="E2" s="2" t="s">
        <v>7</v>
      </c>
      <c r="G2" s="2" t="s">
        <v>3</v>
      </c>
      <c r="H2" s="2" t="s">
        <v>8</v>
      </c>
      <c r="I2" s="2" t="s">
        <v>9</v>
      </c>
      <c r="J2" s="2" t="s">
        <v>10</v>
      </c>
      <c r="K2" s="2" t="s">
        <v>11</v>
      </c>
      <c r="L2" s="2" t="s">
        <v>3</v>
      </c>
      <c r="M2" s="2" t="s">
        <v>12</v>
      </c>
      <c r="N2" s="2" t="s">
        <v>13</v>
      </c>
      <c r="O2" s="2" t="s">
        <v>14</v>
      </c>
      <c r="P2" s="2" t="s">
        <v>15</v>
      </c>
    </row>
    <row r="3" spans="1:16" ht="15" customHeight="1" x14ac:dyDescent="0.3">
      <c r="A3" t="s">
        <v>16</v>
      </c>
      <c r="B3" t="s">
        <v>17</v>
      </c>
      <c r="C3" t="s">
        <v>18</v>
      </c>
      <c r="D3">
        <v>450</v>
      </c>
      <c r="E3">
        <v>40</v>
      </c>
      <c r="G3" t="s">
        <v>16</v>
      </c>
      <c r="H3">
        <v>35</v>
      </c>
      <c r="I3">
        <v>50</v>
      </c>
      <c r="J3">
        <v>20</v>
      </c>
      <c r="K3" t="s">
        <v>19</v>
      </c>
      <c r="L3" t="s">
        <v>16</v>
      </c>
      <c r="M3" s="3" t="s">
        <v>20</v>
      </c>
      <c r="N3">
        <v>25</v>
      </c>
      <c r="O3" t="s">
        <v>8</v>
      </c>
      <c r="P3" t="s">
        <v>21</v>
      </c>
    </row>
    <row r="4" spans="1:16" ht="15" customHeight="1" x14ac:dyDescent="0.3">
      <c r="A4" t="s">
        <v>22</v>
      </c>
      <c r="B4" t="s">
        <v>23</v>
      </c>
      <c r="C4" t="s">
        <v>18</v>
      </c>
      <c r="D4">
        <v>650</v>
      </c>
      <c r="E4">
        <v>35</v>
      </c>
      <c r="G4" t="s">
        <v>22</v>
      </c>
      <c r="H4">
        <v>40</v>
      </c>
      <c r="I4">
        <v>15</v>
      </c>
      <c r="J4">
        <v>25</v>
      </c>
      <c r="K4" t="s">
        <v>24</v>
      </c>
      <c r="L4" t="s">
        <v>16</v>
      </c>
      <c r="M4" s="3" t="s">
        <v>25</v>
      </c>
      <c r="N4">
        <v>30</v>
      </c>
      <c r="O4" t="s">
        <v>9</v>
      </c>
      <c r="P4" t="s">
        <v>26</v>
      </c>
    </row>
    <row r="5" spans="1:16" ht="15" customHeight="1" x14ac:dyDescent="0.3">
      <c r="A5" t="s">
        <v>27</v>
      </c>
      <c r="B5" t="s">
        <v>28</v>
      </c>
      <c r="C5" t="s">
        <v>29</v>
      </c>
      <c r="D5">
        <v>12500</v>
      </c>
      <c r="E5">
        <v>15</v>
      </c>
      <c r="G5" t="s">
        <v>27</v>
      </c>
      <c r="H5">
        <v>5</v>
      </c>
      <c r="I5">
        <v>4</v>
      </c>
      <c r="J5">
        <v>3</v>
      </c>
      <c r="K5" t="s">
        <v>30</v>
      </c>
      <c r="L5" t="s">
        <v>16</v>
      </c>
      <c r="M5" s="3" t="s">
        <v>31</v>
      </c>
      <c r="N5">
        <v>40</v>
      </c>
      <c r="O5" t="s">
        <v>8</v>
      </c>
      <c r="P5" t="s">
        <v>21</v>
      </c>
    </row>
    <row r="6" spans="1:16" ht="15" customHeight="1" x14ac:dyDescent="0.3">
      <c r="A6" t="s">
        <v>32</v>
      </c>
      <c r="B6" t="s">
        <v>33</v>
      </c>
      <c r="C6" t="s">
        <v>34</v>
      </c>
      <c r="D6">
        <v>900</v>
      </c>
      <c r="E6">
        <v>30</v>
      </c>
      <c r="G6" t="s">
        <v>32</v>
      </c>
      <c r="H6">
        <v>28</v>
      </c>
      <c r="I6">
        <v>32</v>
      </c>
      <c r="J6">
        <v>12</v>
      </c>
      <c r="K6" t="s">
        <v>35</v>
      </c>
      <c r="L6" t="s">
        <v>22</v>
      </c>
      <c r="M6" s="3" t="s">
        <v>36</v>
      </c>
      <c r="N6">
        <v>18</v>
      </c>
      <c r="O6" t="s">
        <v>10</v>
      </c>
      <c r="P6" t="s">
        <v>26</v>
      </c>
    </row>
    <row r="7" spans="1:16" ht="15" customHeight="1" x14ac:dyDescent="0.3">
      <c r="A7" t="s">
        <v>37</v>
      </c>
      <c r="B7" t="s">
        <v>38</v>
      </c>
      <c r="C7" t="s">
        <v>18</v>
      </c>
      <c r="D7">
        <v>2200</v>
      </c>
      <c r="E7">
        <v>25</v>
      </c>
      <c r="G7" t="s">
        <v>37</v>
      </c>
      <c r="H7">
        <v>20</v>
      </c>
      <c r="I7">
        <v>18</v>
      </c>
      <c r="J7">
        <v>30</v>
      </c>
      <c r="K7" t="s">
        <v>39</v>
      </c>
      <c r="L7" t="s">
        <v>22</v>
      </c>
      <c r="M7" s="3" t="s">
        <v>40</v>
      </c>
      <c r="N7">
        <v>22</v>
      </c>
      <c r="O7" t="s">
        <v>8</v>
      </c>
      <c r="P7" t="s">
        <v>21</v>
      </c>
    </row>
    <row r="8" spans="1:16" ht="15" customHeight="1" x14ac:dyDescent="0.3">
      <c r="A8" t="s">
        <v>41</v>
      </c>
      <c r="B8" t="s">
        <v>42</v>
      </c>
      <c r="C8" t="s">
        <v>34</v>
      </c>
      <c r="D8">
        <v>750</v>
      </c>
      <c r="E8">
        <v>45</v>
      </c>
      <c r="G8" t="s">
        <v>41</v>
      </c>
      <c r="H8">
        <v>50</v>
      </c>
      <c r="I8">
        <v>40</v>
      </c>
      <c r="J8">
        <v>38</v>
      </c>
      <c r="K8" t="s">
        <v>43</v>
      </c>
      <c r="L8" t="s">
        <v>27</v>
      </c>
      <c r="M8" s="3" t="s">
        <v>44</v>
      </c>
      <c r="N8">
        <v>8</v>
      </c>
      <c r="O8" t="s">
        <v>9</v>
      </c>
      <c r="P8" t="s">
        <v>26</v>
      </c>
    </row>
    <row r="9" spans="1:16" ht="15" customHeight="1" x14ac:dyDescent="0.3">
      <c r="A9" t="s">
        <v>45</v>
      </c>
      <c r="B9" t="s">
        <v>46</v>
      </c>
      <c r="C9" t="s">
        <v>47</v>
      </c>
      <c r="D9">
        <v>4500</v>
      </c>
      <c r="E9">
        <v>20</v>
      </c>
      <c r="G9" t="s">
        <v>45</v>
      </c>
      <c r="H9">
        <v>4</v>
      </c>
      <c r="I9">
        <v>3</v>
      </c>
      <c r="J9">
        <v>2</v>
      </c>
      <c r="K9" t="s">
        <v>48</v>
      </c>
      <c r="L9" t="s">
        <v>27</v>
      </c>
      <c r="M9" s="3" t="s">
        <v>49</v>
      </c>
      <c r="N9">
        <v>12</v>
      </c>
      <c r="O9" t="s">
        <v>8</v>
      </c>
      <c r="P9" t="s">
        <v>21</v>
      </c>
    </row>
    <row r="10" spans="1:16" ht="15" customHeight="1" x14ac:dyDescent="0.3">
      <c r="A10" t="s">
        <v>50</v>
      </c>
      <c r="B10" t="s">
        <v>51</v>
      </c>
      <c r="C10" t="s">
        <v>47</v>
      </c>
      <c r="D10">
        <v>1800</v>
      </c>
      <c r="E10">
        <v>30</v>
      </c>
      <c r="G10" t="s">
        <v>50</v>
      </c>
      <c r="H10">
        <v>25</v>
      </c>
      <c r="I10">
        <v>22</v>
      </c>
      <c r="J10">
        <v>28</v>
      </c>
      <c r="K10" t="s">
        <v>52</v>
      </c>
      <c r="L10" t="s">
        <v>32</v>
      </c>
      <c r="M10" s="3" t="s">
        <v>53</v>
      </c>
      <c r="N10">
        <v>15</v>
      </c>
      <c r="O10" t="s">
        <v>10</v>
      </c>
      <c r="P10" t="s">
        <v>26</v>
      </c>
    </row>
    <row r="11" spans="1:16" ht="15" customHeight="1" x14ac:dyDescent="0.3">
      <c r="K11" t="s">
        <v>54</v>
      </c>
      <c r="L11" t="s">
        <v>32</v>
      </c>
      <c r="M11" s="3" t="s">
        <v>55</v>
      </c>
      <c r="N11">
        <v>20</v>
      </c>
      <c r="O11" t="s">
        <v>9</v>
      </c>
      <c r="P11" t="s">
        <v>21</v>
      </c>
    </row>
    <row r="12" spans="1:16" ht="15" customHeight="1" x14ac:dyDescent="0.3">
      <c r="K12" t="s">
        <v>56</v>
      </c>
      <c r="L12" t="s">
        <v>37</v>
      </c>
      <c r="M12" s="3" t="s">
        <v>57</v>
      </c>
      <c r="N12">
        <v>14</v>
      </c>
      <c r="O12" t="s">
        <v>8</v>
      </c>
      <c r="P12" t="s">
        <v>26</v>
      </c>
    </row>
    <row r="13" spans="1:16" ht="15" customHeight="1" x14ac:dyDescent="0.3">
      <c r="K13" t="s">
        <v>58</v>
      </c>
      <c r="L13" t="s">
        <v>37</v>
      </c>
      <c r="M13" s="3" t="s">
        <v>59</v>
      </c>
      <c r="N13">
        <v>16</v>
      </c>
      <c r="O13" t="s">
        <v>10</v>
      </c>
      <c r="P13" t="s">
        <v>21</v>
      </c>
    </row>
    <row r="14" spans="1:16" ht="15" customHeight="1" x14ac:dyDescent="0.3">
      <c r="K14" t="s">
        <v>60</v>
      </c>
      <c r="L14" t="s">
        <v>41</v>
      </c>
      <c r="M14" s="3" t="s">
        <v>61</v>
      </c>
      <c r="N14">
        <v>28</v>
      </c>
      <c r="O14" t="s">
        <v>9</v>
      </c>
      <c r="P14" t="s">
        <v>26</v>
      </c>
    </row>
    <row r="15" spans="1:16" ht="15" customHeight="1" x14ac:dyDescent="0.3">
      <c r="K15" t="s">
        <v>62</v>
      </c>
      <c r="L15" t="s">
        <v>41</v>
      </c>
      <c r="M15" s="3" t="s">
        <v>63</v>
      </c>
      <c r="N15">
        <v>32</v>
      </c>
      <c r="O15" t="s">
        <v>8</v>
      </c>
      <c r="P15" t="s">
        <v>21</v>
      </c>
    </row>
    <row r="16" spans="1:16" ht="15" customHeight="1" x14ac:dyDescent="0.3">
      <c r="K16" t="s">
        <v>64</v>
      </c>
      <c r="L16" t="s">
        <v>45</v>
      </c>
      <c r="M16" s="3" t="s">
        <v>65</v>
      </c>
      <c r="N16">
        <v>10</v>
      </c>
      <c r="O16" t="s">
        <v>10</v>
      </c>
      <c r="P16" t="s">
        <v>26</v>
      </c>
    </row>
    <row r="17" spans="11:16" ht="15" customHeight="1" x14ac:dyDescent="0.3">
      <c r="K17" t="s">
        <v>66</v>
      </c>
      <c r="L17" t="s">
        <v>45</v>
      </c>
      <c r="M17" s="3" t="s">
        <v>67</v>
      </c>
      <c r="N17">
        <v>9</v>
      </c>
      <c r="O17" t="s">
        <v>9</v>
      </c>
      <c r="P17" t="s">
        <v>21</v>
      </c>
    </row>
    <row r="18" spans="11:16" ht="15" customHeight="1" x14ac:dyDescent="0.3">
      <c r="K18" t="s">
        <v>68</v>
      </c>
      <c r="L18" t="s">
        <v>50</v>
      </c>
      <c r="M18" s="3" t="s">
        <v>69</v>
      </c>
      <c r="N18">
        <v>19</v>
      </c>
      <c r="O18" t="s">
        <v>8</v>
      </c>
      <c r="P18" t="s">
        <v>26</v>
      </c>
    </row>
    <row r="19" spans="11:16" ht="15" customHeight="1" x14ac:dyDescent="0.3">
      <c r="K19" t="s">
        <v>70</v>
      </c>
      <c r="L19" t="s">
        <v>50</v>
      </c>
      <c r="M19" s="3" t="s">
        <v>71</v>
      </c>
      <c r="N19">
        <v>21</v>
      </c>
      <c r="O19" t="s">
        <v>10</v>
      </c>
      <c r="P19" t="s">
        <v>21</v>
      </c>
    </row>
    <row r="20" spans="11:16" ht="15" customHeight="1" x14ac:dyDescent="0.3">
      <c r="K20" t="s">
        <v>72</v>
      </c>
      <c r="L20" t="s">
        <v>16</v>
      </c>
      <c r="M20" s="3" t="s">
        <v>73</v>
      </c>
      <c r="N20">
        <v>35</v>
      </c>
      <c r="O20" t="s">
        <v>9</v>
      </c>
      <c r="P20" t="s">
        <v>26</v>
      </c>
    </row>
    <row r="21" spans="11:16" ht="15" customHeight="1" x14ac:dyDescent="0.3">
      <c r="K21" t="s">
        <v>74</v>
      </c>
      <c r="L21" t="s">
        <v>27</v>
      </c>
      <c r="M21" s="3" t="s">
        <v>75</v>
      </c>
      <c r="N21">
        <v>10</v>
      </c>
      <c r="O21" t="s">
        <v>10</v>
      </c>
      <c r="P21" t="s">
        <v>21</v>
      </c>
    </row>
    <row r="22" spans="11:16" ht="15" customHeight="1" x14ac:dyDescent="0.3">
      <c r="K22" t="s">
        <v>76</v>
      </c>
      <c r="L22" t="s">
        <v>41</v>
      </c>
      <c r="M22" s="3" t="s">
        <v>77</v>
      </c>
      <c r="N22">
        <v>18</v>
      </c>
      <c r="O22" t="s">
        <v>9</v>
      </c>
      <c r="P22" t="s">
        <v>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zoomScaleNormal="100" workbookViewId="0">
      <selection activeCell="E13" sqref="E13"/>
    </sheetView>
  </sheetViews>
  <sheetFormatPr defaultColWidth="8.6640625" defaultRowHeight="14.4" x14ac:dyDescent="0.3"/>
  <cols>
    <col min="1" max="1" width="11" customWidth="1"/>
    <col min="2" max="2" width="8" customWidth="1"/>
    <col min="3" max="3" width="25.5546875" customWidth="1"/>
    <col min="4" max="4" width="13" customWidth="1"/>
    <col min="5" max="5" width="13.33203125" customWidth="1"/>
    <col min="6" max="6" width="11.21875" customWidth="1"/>
    <col min="7" max="7" width="13.44140625" customWidth="1"/>
    <col min="8" max="8" width="10.5546875" customWidth="1"/>
  </cols>
  <sheetData>
    <row r="1" spans="1:8" ht="21.75" customHeight="1" x14ac:dyDescent="0.3">
      <c r="A1" s="32" t="s">
        <v>78</v>
      </c>
      <c r="B1" s="33"/>
      <c r="C1" s="33"/>
      <c r="D1" s="33"/>
      <c r="E1" s="33"/>
      <c r="F1" s="33"/>
      <c r="G1" s="33"/>
      <c r="H1" s="33"/>
    </row>
    <row r="3" spans="1:8" ht="15" customHeight="1" x14ac:dyDescent="0.3">
      <c r="A3" s="2" t="s">
        <v>11</v>
      </c>
      <c r="B3" s="2" t="s">
        <v>3</v>
      </c>
      <c r="C3" s="2" t="s">
        <v>79</v>
      </c>
      <c r="D3" s="2" t="s">
        <v>5</v>
      </c>
      <c r="E3" s="2" t="s">
        <v>12</v>
      </c>
      <c r="F3" s="2" t="s">
        <v>13</v>
      </c>
      <c r="G3" s="2" t="s">
        <v>14</v>
      </c>
      <c r="H3" s="2" t="s">
        <v>15</v>
      </c>
    </row>
    <row r="4" spans="1:8" ht="15" customHeight="1" x14ac:dyDescent="0.3">
      <c r="A4" t="str">
        <f>'Sheet1 - Dataset'!K3</f>
        <v>O001</v>
      </c>
      <c r="B4" t="str">
        <f>'Sheet1 - Dataset'!L3</f>
        <v>SK001</v>
      </c>
      <c r="C4" t="str">
        <f>PROPER(TRIM(VLOOKUP(B4,'Sheet1 - Dataset'!$A$3:$E$10,2,FALSE)))</f>
        <v>Wireless Mouse</v>
      </c>
      <c r="D4" t="str">
        <f>IFERROR(VLOOKUP(B4,'Sheet1 - Dataset'!$A$3:$E$10,3,FALSE),"Not Found")</f>
        <v>Peripherals</v>
      </c>
      <c r="E4" t="str">
        <f>'Sheet1 - Dataset'!M3</f>
        <v>2026-01-05</v>
      </c>
      <c r="F4">
        <f>'Sheet1 - Dataset'!N3</f>
        <v>25</v>
      </c>
      <c r="G4" t="str">
        <f>'Sheet1 - Dataset'!O3</f>
        <v>West</v>
      </c>
      <c r="H4" t="str">
        <f>'Sheet1 - Dataset'!P3</f>
        <v>Online</v>
      </c>
    </row>
    <row r="5" spans="1:8" ht="15" customHeight="1" x14ac:dyDescent="0.3">
      <c r="A5" t="str">
        <f>'Sheet1 - Dataset'!K4</f>
        <v>O002</v>
      </c>
      <c r="B5" t="str">
        <f>'Sheet1 - Dataset'!L4</f>
        <v>SK001</v>
      </c>
      <c r="C5" t="str">
        <f>PROPER(TRIM(VLOOKUP(B5,'Sheet1 - Dataset'!$A$3:$E$10,2,FALSE)))</f>
        <v>Wireless Mouse</v>
      </c>
      <c r="D5" t="str">
        <f>IFERROR(VLOOKUP(B5,'Sheet1 - Dataset'!$A$3:$E$10,3,FALSE),"Not Found")</f>
        <v>Peripherals</v>
      </c>
      <c r="E5" t="str">
        <f>'Sheet1 - Dataset'!M4</f>
        <v>2026-02-10</v>
      </c>
      <c r="F5">
        <f>'Sheet1 - Dataset'!N4</f>
        <v>30</v>
      </c>
      <c r="G5" t="str">
        <f>'Sheet1 - Dataset'!O4</f>
        <v>East</v>
      </c>
      <c r="H5" t="str">
        <f>'Sheet1 - Dataset'!P4</f>
        <v>Retail</v>
      </c>
    </row>
    <row r="6" spans="1:8" ht="15" customHeight="1" x14ac:dyDescent="0.3">
      <c r="A6" t="str">
        <f>'Sheet1 - Dataset'!K5</f>
        <v>O003</v>
      </c>
      <c r="B6" t="str">
        <f>'Sheet1 - Dataset'!L5</f>
        <v>SK001</v>
      </c>
      <c r="C6" t="str">
        <f>PROPER(TRIM(VLOOKUP(B6,'Sheet1 - Dataset'!$A$3:$E$10,2,FALSE)))</f>
        <v>Wireless Mouse</v>
      </c>
      <c r="D6" t="str">
        <f>IFERROR(VLOOKUP(B6,'Sheet1 - Dataset'!$A$3:$E$10,3,FALSE),"Not Found")</f>
        <v>Peripherals</v>
      </c>
      <c r="E6" t="str">
        <f>'Sheet1 - Dataset'!M5</f>
        <v>2026-03-02</v>
      </c>
      <c r="F6">
        <f>'Sheet1 - Dataset'!N5</f>
        <v>40</v>
      </c>
      <c r="G6" t="str">
        <f>'Sheet1 - Dataset'!O5</f>
        <v>West</v>
      </c>
      <c r="H6" t="str">
        <f>'Sheet1 - Dataset'!P5</f>
        <v>Online</v>
      </c>
    </row>
    <row r="7" spans="1:8" ht="15" customHeight="1" x14ac:dyDescent="0.3">
      <c r="A7" t="str">
        <f>'Sheet1 - Dataset'!K6</f>
        <v>O004</v>
      </c>
      <c r="B7" t="str">
        <f>'Sheet1 - Dataset'!L6</f>
        <v>SK002</v>
      </c>
      <c r="C7" t="str">
        <f>PROPER(TRIM(VLOOKUP(B7,'Sheet1 - Dataset'!$A$3:$E$10,2,FALSE)))</f>
        <v>Usb Keyboard</v>
      </c>
      <c r="D7" t="str">
        <f>IFERROR(VLOOKUP(B7,'Sheet1 - Dataset'!$A$3:$E$10,3,FALSE),"Not Found")</f>
        <v>Peripherals</v>
      </c>
      <c r="E7" t="str">
        <f>'Sheet1 - Dataset'!M6</f>
        <v>2026-01-12</v>
      </c>
      <c r="F7">
        <f>'Sheet1 - Dataset'!N6</f>
        <v>18</v>
      </c>
      <c r="G7" t="str">
        <f>'Sheet1 - Dataset'!O6</f>
        <v>Central</v>
      </c>
      <c r="H7" t="str">
        <f>'Sheet1 - Dataset'!P6</f>
        <v>Retail</v>
      </c>
    </row>
    <row r="8" spans="1:8" ht="15" customHeight="1" x14ac:dyDescent="0.3">
      <c r="A8" t="str">
        <f>'Sheet1 - Dataset'!K7</f>
        <v>O005</v>
      </c>
      <c r="B8" t="str">
        <f>'Sheet1 - Dataset'!L7</f>
        <v>SK002</v>
      </c>
      <c r="C8" t="str">
        <f>PROPER(TRIM(VLOOKUP(B8,'Sheet1 - Dataset'!$A$3:$E$10,2,FALSE)))</f>
        <v>Usb Keyboard</v>
      </c>
      <c r="D8" t="str">
        <f>IFERROR(VLOOKUP(B8,'Sheet1 - Dataset'!$A$3:$E$10,3,FALSE),"Not Found")</f>
        <v>Peripherals</v>
      </c>
      <c r="E8" t="str">
        <f>'Sheet1 - Dataset'!M7</f>
        <v>2026-02-20</v>
      </c>
      <c r="F8">
        <f>'Sheet1 - Dataset'!N7</f>
        <v>22</v>
      </c>
      <c r="G8" t="str">
        <f>'Sheet1 - Dataset'!O7</f>
        <v>West</v>
      </c>
      <c r="H8" t="str">
        <f>'Sheet1 - Dataset'!P7</f>
        <v>Online</v>
      </c>
    </row>
    <row r="9" spans="1:8" ht="15" customHeight="1" x14ac:dyDescent="0.3">
      <c r="A9" t="str">
        <f>'Sheet1 - Dataset'!K8</f>
        <v>O006</v>
      </c>
      <c r="B9" t="str">
        <f>'Sheet1 - Dataset'!L8</f>
        <v>SK003</v>
      </c>
      <c r="C9" t="str">
        <f>PROPER(TRIM(VLOOKUP(B9,'Sheet1 - Dataset'!$A$3:$E$10,2,FALSE)))</f>
        <v>27 Inch Monitor</v>
      </c>
      <c r="D9" t="str">
        <f>IFERROR(VLOOKUP(B9,'Sheet1 - Dataset'!$A$3:$E$10,3,FALSE),"Not Found")</f>
        <v>Displays</v>
      </c>
      <c r="E9" t="str">
        <f>'Sheet1 - Dataset'!M8</f>
        <v>2026-01-08</v>
      </c>
      <c r="F9">
        <f>'Sheet1 - Dataset'!N8</f>
        <v>8</v>
      </c>
      <c r="G9" t="str">
        <f>'Sheet1 - Dataset'!O8</f>
        <v>East</v>
      </c>
      <c r="H9" t="str">
        <f>'Sheet1 - Dataset'!P8</f>
        <v>Retail</v>
      </c>
    </row>
    <row r="10" spans="1:8" ht="15" customHeight="1" x14ac:dyDescent="0.3">
      <c r="A10" t="str">
        <f>'Sheet1 - Dataset'!K9</f>
        <v>O007</v>
      </c>
      <c r="B10" t="str">
        <f>'Sheet1 - Dataset'!L9</f>
        <v>SK003</v>
      </c>
      <c r="C10" t="str">
        <f>PROPER(TRIM(VLOOKUP(B10,'Sheet1 - Dataset'!$A$3:$E$10,2,FALSE)))</f>
        <v>27 Inch Monitor</v>
      </c>
      <c r="D10" t="str">
        <f>IFERROR(VLOOKUP(B10,'Sheet1 - Dataset'!$A$3:$E$10,3,FALSE),"Not Found")</f>
        <v>Displays</v>
      </c>
      <c r="E10" t="str">
        <f>'Sheet1 - Dataset'!M9</f>
        <v>2026-03-15</v>
      </c>
      <c r="F10">
        <f>'Sheet1 - Dataset'!N9</f>
        <v>12</v>
      </c>
      <c r="G10" t="str">
        <f>'Sheet1 - Dataset'!O9</f>
        <v>West</v>
      </c>
      <c r="H10" t="str">
        <f>'Sheet1 - Dataset'!P9</f>
        <v>Online</v>
      </c>
    </row>
    <row r="11" spans="1:8" ht="15" customHeight="1" x14ac:dyDescent="0.3">
      <c r="A11" t="str">
        <f>'Sheet1 - Dataset'!K10</f>
        <v>O008</v>
      </c>
      <c r="B11" t="str">
        <f>'Sheet1 - Dataset'!L10</f>
        <v>SK004</v>
      </c>
      <c r="C11" t="str">
        <f>PROPER(TRIM(VLOOKUP(B11,'Sheet1 - Dataset'!$A$3:$E$10,2,FALSE)))</f>
        <v>Laptop Stand</v>
      </c>
      <c r="D11" t="str">
        <f>IFERROR(VLOOKUP(B11,'Sheet1 - Dataset'!$A$3:$E$10,3,FALSE),"Not Found")</f>
        <v>Accessories</v>
      </c>
      <c r="E11" t="str">
        <f>'Sheet1 - Dataset'!M10</f>
        <v>2026-02-01</v>
      </c>
      <c r="F11">
        <f>'Sheet1 - Dataset'!N10</f>
        <v>15</v>
      </c>
      <c r="G11" t="str">
        <f>'Sheet1 - Dataset'!O10</f>
        <v>Central</v>
      </c>
      <c r="H11" t="str">
        <f>'Sheet1 - Dataset'!P10</f>
        <v>Retail</v>
      </c>
    </row>
    <row r="12" spans="1:8" ht="15" customHeight="1" x14ac:dyDescent="0.3">
      <c r="A12" t="str">
        <f>'Sheet1 - Dataset'!K11</f>
        <v>O009</v>
      </c>
      <c r="B12" t="str">
        <f>'Sheet1 - Dataset'!L11</f>
        <v>SK004</v>
      </c>
      <c r="C12" t="str">
        <f>PROPER(TRIM(VLOOKUP(B12,'Sheet1 - Dataset'!$A$3:$E$10,2,FALSE)))</f>
        <v>Laptop Stand</v>
      </c>
      <c r="D12" t="str">
        <f>IFERROR(VLOOKUP(B12,'Sheet1 - Dataset'!$A$3:$E$10,3,FALSE),"Not Found")</f>
        <v>Accessories</v>
      </c>
      <c r="E12" t="str">
        <f>'Sheet1 - Dataset'!M11</f>
        <v>2026-03-10</v>
      </c>
      <c r="F12">
        <f>'Sheet1 - Dataset'!N11</f>
        <v>20</v>
      </c>
      <c r="G12" t="str">
        <f>'Sheet1 - Dataset'!O11</f>
        <v>East</v>
      </c>
      <c r="H12" t="str">
        <f>'Sheet1 - Dataset'!P11</f>
        <v>Online</v>
      </c>
    </row>
    <row r="13" spans="1:8" ht="15" customHeight="1" x14ac:dyDescent="0.3">
      <c r="A13" t="str">
        <f>'Sheet1 - Dataset'!K12</f>
        <v>O010</v>
      </c>
      <c r="B13" t="str">
        <f>'Sheet1 - Dataset'!L12</f>
        <v>SK005</v>
      </c>
      <c r="C13" t="str">
        <f>PROPER(TRIM(VLOOKUP(B13,'Sheet1 - Dataset'!$A$3:$E$10,2,FALSE)))</f>
        <v>Webcam Hd</v>
      </c>
      <c r="D13" t="str">
        <f>IFERROR(VLOOKUP(B13,'Sheet1 - Dataset'!$A$3:$E$10,3,FALSE),"Not Found")</f>
        <v>Peripherals</v>
      </c>
      <c r="E13" t="str">
        <f>'Sheet1 - Dataset'!M12</f>
        <v>2026-01-25</v>
      </c>
      <c r="F13">
        <f>'Sheet1 - Dataset'!N12</f>
        <v>14</v>
      </c>
      <c r="G13" t="str">
        <f>'Sheet1 - Dataset'!O12</f>
        <v>West</v>
      </c>
      <c r="H13" t="str">
        <f>'Sheet1 - Dataset'!P12</f>
        <v>Retail</v>
      </c>
    </row>
    <row r="14" spans="1:8" ht="15" customHeight="1" x14ac:dyDescent="0.3">
      <c r="A14" t="str">
        <f>'Sheet1 - Dataset'!K13</f>
        <v>O011</v>
      </c>
      <c r="B14" t="str">
        <f>'Sheet1 - Dataset'!L13</f>
        <v>SK005</v>
      </c>
      <c r="C14" t="str">
        <f>PROPER(TRIM(VLOOKUP(B14,'Sheet1 - Dataset'!$A$3:$E$10,2,FALSE)))</f>
        <v>Webcam Hd</v>
      </c>
      <c r="D14" t="str">
        <f>IFERROR(VLOOKUP(B14,'Sheet1 - Dataset'!$A$3:$E$10,3,FALSE),"Not Found")</f>
        <v>Peripherals</v>
      </c>
      <c r="E14" t="str">
        <f>'Sheet1 - Dataset'!M13</f>
        <v>2026-02-28</v>
      </c>
      <c r="F14">
        <f>'Sheet1 - Dataset'!N13</f>
        <v>16</v>
      </c>
      <c r="G14" t="str">
        <f>'Sheet1 - Dataset'!O13</f>
        <v>Central</v>
      </c>
      <c r="H14" t="str">
        <f>'Sheet1 - Dataset'!P13</f>
        <v>Online</v>
      </c>
    </row>
    <row r="15" spans="1:8" ht="15" customHeight="1" x14ac:dyDescent="0.3">
      <c r="A15" t="str">
        <f>'Sheet1 - Dataset'!K14</f>
        <v>O012</v>
      </c>
      <c r="B15" t="str">
        <f>'Sheet1 - Dataset'!L14</f>
        <v>SK006</v>
      </c>
      <c r="C15" t="str">
        <f>PROPER(TRIM(VLOOKUP(B15,'Sheet1 - Dataset'!$A$3:$E$10,2,FALSE)))</f>
        <v>Desk Lamp Led</v>
      </c>
      <c r="D15" t="str">
        <f>IFERROR(VLOOKUP(B15,'Sheet1 - Dataset'!$A$3:$E$10,3,FALSE),"Not Found")</f>
        <v>Accessories</v>
      </c>
      <c r="E15" t="str">
        <f>'Sheet1 - Dataset'!M14</f>
        <v>2026-01-18</v>
      </c>
      <c r="F15">
        <f>'Sheet1 - Dataset'!N14</f>
        <v>28</v>
      </c>
      <c r="G15" t="str">
        <f>'Sheet1 - Dataset'!O14</f>
        <v>East</v>
      </c>
      <c r="H15" t="str">
        <f>'Sheet1 - Dataset'!P14</f>
        <v>Retail</v>
      </c>
    </row>
    <row r="16" spans="1:8" ht="15" customHeight="1" x14ac:dyDescent="0.3">
      <c r="A16" t="str">
        <f>'Sheet1 - Dataset'!K15</f>
        <v>O013</v>
      </c>
      <c r="B16" t="str">
        <f>'Sheet1 - Dataset'!L15</f>
        <v>SK006</v>
      </c>
      <c r="C16" t="str">
        <f>PROPER(TRIM(VLOOKUP(B16,'Sheet1 - Dataset'!$A$3:$E$10,2,FALSE)))</f>
        <v>Desk Lamp Led</v>
      </c>
      <c r="D16" t="str">
        <f>IFERROR(VLOOKUP(B16,'Sheet1 - Dataset'!$A$3:$E$10,3,FALSE),"Not Found")</f>
        <v>Accessories</v>
      </c>
      <c r="E16" t="str">
        <f>'Sheet1 - Dataset'!M15</f>
        <v>2026-03-05</v>
      </c>
      <c r="F16">
        <f>'Sheet1 - Dataset'!N15</f>
        <v>32</v>
      </c>
      <c r="G16" t="str">
        <f>'Sheet1 - Dataset'!O15</f>
        <v>West</v>
      </c>
      <c r="H16" t="str">
        <f>'Sheet1 - Dataset'!P15</f>
        <v>Online</v>
      </c>
    </row>
    <row r="17" spans="1:8" ht="15" customHeight="1" x14ac:dyDescent="0.3">
      <c r="A17" t="str">
        <f>'Sheet1 - Dataset'!K16</f>
        <v>O014</v>
      </c>
      <c r="B17" t="str">
        <f>'Sheet1 - Dataset'!L16</f>
        <v>SK007</v>
      </c>
      <c r="C17" t="str">
        <f>PROPER(TRIM(VLOOKUP(B17,'Sheet1 - Dataset'!$A$3:$E$10,2,FALSE)))</f>
        <v>Noise Cancel Headset</v>
      </c>
      <c r="D17" t="str">
        <f>IFERROR(VLOOKUP(B17,'Sheet1 - Dataset'!$A$3:$E$10,3,FALSE),"Not Found")</f>
        <v>Audio</v>
      </c>
      <c r="E17" t="str">
        <f>'Sheet1 - Dataset'!M16</f>
        <v>2026-02-14</v>
      </c>
      <c r="F17">
        <f>'Sheet1 - Dataset'!N16</f>
        <v>10</v>
      </c>
      <c r="G17" t="str">
        <f>'Sheet1 - Dataset'!O16</f>
        <v>Central</v>
      </c>
      <c r="H17" t="str">
        <f>'Sheet1 - Dataset'!P16</f>
        <v>Retail</v>
      </c>
    </row>
    <row r="18" spans="1:8" ht="15" customHeight="1" x14ac:dyDescent="0.3">
      <c r="A18" t="str">
        <f>'Sheet1 - Dataset'!K17</f>
        <v>O015</v>
      </c>
      <c r="B18" t="str">
        <f>'Sheet1 - Dataset'!L17</f>
        <v>SK007</v>
      </c>
      <c r="C18" t="str">
        <f>PROPER(TRIM(VLOOKUP(B18,'Sheet1 - Dataset'!$A$3:$E$10,2,FALSE)))</f>
        <v>Noise Cancel Headset</v>
      </c>
      <c r="D18" t="str">
        <f>IFERROR(VLOOKUP(B18,'Sheet1 - Dataset'!$A$3:$E$10,3,FALSE),"Not Found")</f>
        <v>Audio</v>
      </c>
      <c r="E18" t="str">
        <f>'Sheet1 - Dataset'!M17</f>
        <v>2026-03-20</v>
      </c>
      <c r="F18">
        <f>'Sheet1 - Dataset'!N17</f>
        <v>9</v>
      </c>
      <c r="G18" t="str">
        <f>'Sheet1 - Dataset'!O17</f>
        <v>East</v>
      </c>
      <c r="H18" t="str">
        <f>'Sheet1 - Dataset'!P17</f>
        <v>Online</v>
      </c>
    </row>
    <row r="19" spans="1:8" ht="15" customHeight="1" x14ac:dyDescent="0.3">
      <c r="A19" t="str">
        <f>'Sheet1 - Dataset'!K18</f>
        <v>O016</v>
      </c>
      <c r="B19" t="str">
        <f>'Sheet1 - Dataset'!L18</f>
        <v>SK008</v>
      </c>
      <c r="C19" t="str">
        <f>PROPER(TRIM(VLOOKUP(B19,'Sheet1 - Dataset'!$A$3:$E$10,2,FALSE)))</f>
        <v>Bluetooth Speaker</v>
      </c>
      <c r="D19" t="str">
        <f>IFERROR(VLOOKUP(B19,'Sheet1 - Dataset'!$A$3:$E$10,3,FALSE),"Not Found")</f>
        <v>Audio</v>
      </c>
      <c r="E19" t="str">
        <f>'Sheet1 - Dataset'!M18</f>
        <v>2026-01-30</v>
      </c>
      <c r="F19">
        <f>'Sheet1 - Dataset'!N18</f>
        <v>19</v>
      </c>
      <c r="G19" t="str">
        <f>'Sheet1 - Dataset'!O18</f>
        <v>West</v>
      </c>
      <c r="H19" t="str">
        <f>'Sheet1 - Dataset'!P18</f>
        <v>Retail</v>
      </c>
    </row>
    <row r="20" spans="1:8" ht="15" customHeight="1" x14ac:dyDescent="0.3">
      <c r="A20" t="str">
        <f>'Sheet1 - Dataset'!K19</f>
        <v>O017</v>
      </c>
      <c r="B20" t="str">
        <f>'Sheet1 - Dataset'!L19</f>
        <v>SK008</v>
      </c>
      <c r="C20" t="str">
        <f>PROPER(TRIM(VLOOKUP(B20,'Sheet1 - Dataset'!$A$3:$E$10,2,FALSE)))</f>
        <v>Bluetooth Speaker</v>
      </c>
      <c r="D20" t="str">
        <f>IFERROR(VLOOKUP(B20,'Sheet1 - Dataset'!$A$3:$E$10,3,FALSE),"Not Found")</f>
        <v>Audio</v>
      </c>
      <c r="E20" t="str">
        <f>'Sheet1 - Dataset'!M19</f>
        <v>2026-02-22</v>
      </c>
      <c r="F20">
        <f>'Sheet1 - Dataset'!N19</f>
        <v>21</v>
      </c>
      <c r="G20" t="str">
        <f>'Sheet1 - Dataset'!O19</f>
        <v>Central</v>
      </c>
      <c r="H20" t="str">
        <f>'Sheet1 - Dataset'!P19</f>
        <v>Online</v>
      </c>
    </row>
    <row r="21" spans="1:8" ht="15" customHeight="1" x14ac:dyDescent="0.3">
      <c r="A21" t="str">
        <f>'Sheet1 - Dataset'!K20</f>
        <v>O018</v>
      </c>
      <c r="B21" t="str">
        <f>'Sheet1 - Dataset'!L20</f>
        <v>SK001</v>
      </c>
      <c r="C21" t="str">
        <f>PROPER(TRIM(VLOOKUP(B21,'Sheet1 - Dataset'!$A$3:$E$10,2,FALSE)))</f>
        <v>Wireless Mouse</v>
      </c>
      <c r="D21" t="str">
        <f>IFERROR(VLOOKUP(B21,'Sheet1 - Dataset'!$A$3:$E$10,3,FALSE),"Not Found")</f>
        <v>Peripherals</v>
      </c>
      <c r="E21" t="str">
        <f>'Sheet1 - Dataset'!M20</f>
        <v>2026-03-25</v>
      </c>
      <c r="F21">
        <f>'Sheet1 - Dataset'!N20</f>
        <v>35</v>
      </c>
      <c r="G21" t="str">
        <f>'Sheet1 - Dataset'!O20</f>
        <v>East</v>
      </c>
      <c r="H21" t="str">
        <f>'Sheet1 - Dataset'!P20</f>
        <v>Retail</v>
      </c>
    </row>
    <row r="22" spans="1:8" ht="15" customHeight="1" x14ac:dyDescent="0.3">
      <c r="A22" t="str">
        <f>'Sheet1 - Dataset'!K21</f>
        <v>O019</v>
      </c>
      <c r="B22" t="str">
        <f>'Sheet1 - Dataset'!L21</f>
        <v>SK003</v>
      </c>
      <c r="C22" t="str">
        <f>PROPER(TRIM(VLOOKUP(B22,'Sheet1 - Dataset'!$A$3:$E$10,2,FALSE)))</f>
        <v>27 Inch Monitor</v>
      </c>
      <c r="D22" t="str">
        <f>IFERROR(VLOOKUP(B22,'Sheet1 - Dataset'!$A$3:$E$10,3,FALSE),"Not Found")</f>
        <v>Displays</v>
      </c>
      <c r="E22" t="str">
        <f>'Sheet1 - Dataset'!M21</f>
        <v>2026-02-05</v>
      </c>
      <c r="F22">
        <f>'Sheet1 - Dataset'!N21</f>
        <v>10</v>
      </c>
      <c r="G22" t="str">
        <f>'Sheet1 - Dataset'!O21</f>
        <v>Central</v>
      </c>
      <c r="H22" t="str">
        <f>'Sheet1 - Dataset'!P21</f>
        <v>Online</v>
      </c>
    </row>
    <row r="23" spans="1:8" ht="15" customHeight="1" x14ac:dyDescent="0.3">
      <c r="A23" t="str">
        <f>'Sheet1 - Dataset'!K22</f>
        <v>O020</v>
      </c>
      <c r="B23" t="str">
        <f>'Sheet1 - Dataset'!L22</f>
        <v>SK006</v>
      </c>
      <c r="C23" t="str">
        <f>PROPER(TRIM(VLOOKUP(B23,'Sheet1 - Dataset'!$A$3:$E$10,2,FALSE)))</f>
        <v>Desk Lamp Led</v>
      </c>
      <c r="D23" t="str">
        <f>IFERROR(VLOOKUP(B23,'Sheet1 - Dataset'!$A$3:$E$10,3,FALSE),"Not Found")</f>
        <v>Accessories</v>
      </c>
      <c r="E23" t="str">
        <f>'Sheet1 - Dataset'!M22</f>
        <v>2026-02-15</v>
      </c>
      <c r="F23">
        <f>'Sheet1 - Dataset'!N22</f>
        <v>18</v>
      </c>
      <c r="G23" t="str">
        <f>'Sheet1 - Dataset'!O22</f>
        <v>East</v>
      </c>
      <c r="H23" t="str">
        <f>'Sheet1 - Dataset'!P22</f>
        <v>Retail</v>
      </c>
    </row>
  </sheetData>
  <mergeCells count="1">
    <mergeCell ref="A1:H1"/>
  </mergeCells>
  <dataValidations count="1">
    <dataValidation type="list" allowBlank="1" showInputMessage="1" showErrorMessage="1" sqref="D4:D23" xr:uid="{969637FF-135F-4E40-B79C-C02CB3177888}">
      <formula1>"Peripherals,Displays,Accessories,Audio"</formula1>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tabSelected="1" zoomScaleNormal="100" workbookViewId="0">
      <selection activeCell="H11" sqref="H11"/>
    </sheetView>
  </sheetViews>
  <sheetFormatPr defaultColWidth="8.6640625" defaultRowHeight="14.4" x14ac:dyDescent="0.3"/>
  <cols>
    <col min="1" max="1" width="10" customWidth="1"/>
    <col min="2" max="2" width="18" customWidth="1"/>
    <col min="3" max="3" width="20" customWidth="1"/>
    <col min="4" max="4" width="14" customWidth="1"/>
  </cols>
  <sheetData>
    <row r="1" spans="1:8" ht="21.75" customHeight="1" x14ac:dyDescent="0.3">
      <c r="A1" s="32" t="s">
        <v>80</v>
      </c>
      <c r="B1" s="33"/>
      <c r="C1" s="33"/>
      <c r="D1" s="33"/>
      <c r="E1" s="33"/>
      <c r="F1" s="33"/>
      <c r="G1" s="33"/>
      <c r="H1" s="33"/>
    </row>
    <row r="3" spans="1:8" ht="15" customHeight="1" x14ac:dyDescent="0.3">
      <c r="A3" s="2" t="s">
        <v>3</v>
      </c>
      <c r="B3" s="2" t="s">
        <v>81</v>
      </c>
      <c r="C3" s="2" t="s">
        <v>82</v>
      </c>
      <c r="D3" s="2" t="s">
        <v>83</v>
      </c>
    </row>
    <row r="4" spans="1:8" ht="15" customHeight="1" x14ac:dyDescent="0.3">
      <c r="A4" t="str">
        <f>'Sheet1 - Dataset'!A3</f>
        <v>SK001</v>
      </c>
      <c r="B4">
        <f>SUM(VLOOKUP(A4,'Sheet1 - Dataset'!$G$3:$J$10,2,FALSE),VLOOKUP(A4,'Sheet1 - Dataset'!$G$3:$J$10,3,FALSE),VLOOKUP(A4,'Sheet1 - Dataset'!$G$3:$J$10,4,FALSE))</f>
        <v>105</v>
      </c>
      <c r="C4">
        <f>VLOOKUP(A4,'Sheet1 - Dataset'!$A$3:$E$10,5,FALSE)</f>
        <v>40</v>
      </c>
      <c r="D4" t="str">
        <f>IF(B4&lt;C4,"Reorder Now","OK")</f>
        <v>OK</v>
      </c>
    </row>
    <row r="5" spans="1:8" ht="15" customHeight="1" x14ac:dyDescent="0.3">
      <c r="A5" t="str">
        <f>'Sheet1 - Dataset'!A4</f>
        <v>SK002</v>
      </c>
      <c r="B5">
        <f>SUM(VLOOKUP(A5,'Sheet1 - Dataset'!$G$3:$J$10,2,FALSE),VLOOKUP(A5,'Sheet1 - Dataset'!$G$3:$J$10,3,FALSE),VLOOKUP(A5,'Sheet1 - Dataset'!$G$3:$J$10,4,FALSE))</f>
        <v>80</v>
      </c>
      <c r="C5">
        <f>VLOOKUP(A5,'Sheet1 - Dataset'!$A$3:$E$10,5,FALSE)</f>
        <v>35</v>
      </c>
      <c r="D5" t="str">
        <f t="shared" ref="D5:D11" si="0">IF(B5&lt;C5,"Reorder Now","OK")</f>
        <v>OK</v>
      </c>
    </row>
    <row r="6" spans="1:8" ht="15" customHeight="1" x14ac:dyDescent="0.3">
      <c r="A6" t="str">
        <f>'Sheet1 - Dataset'!A5</f>
        <v>SK003</v>
      </c>
      <c r="B6">
        <f>SUM(VLOOKUP(A6,'Sheet1 - Dataset'!$G$3:$J$10,2,FALSE),VLOOKUP(A6,'Sheet1 - Dataset'!$G$3:$J$10,3,FALSE),VLOOKUP(A6,'Sheet1 - Dataset'!$G$3:$J$10,4,FALSE))</f>
        <v>12</v>
      </c>
      <c r="C6">
        <f>VLOOKUP(A6,'Sheet1 - Dataset'!$A$3:$E$10,5,FALSE)</f>
        <v>15</v>
      </c>
      <c r="D6" t="str">
        <f t="shared" si="0"/>
        <v>Reorder Now</v>
      </c>
    </row>
    <row r="7" spans="1:8" ht="15" customHeight="1" x14ac:dyDescent="0.3">
      <c r="A7" t="str">
        <f>'Sheet1 - Dataset'!A6</f>
        <v>SK004</v>
      </c>
      <c r="B7">
        <f>SUM(VLOOKUP(A7,'Sheet1 - Dataset'!$G$3:$J$10,2,FALSE),VLOOKUP(A7,'Sheet1 - Dataset'!$G$3:$J$10,3,FALSE),VLOOKUP(A7,'Sheet1 - Dataset'!$G$3:$J$10,4,FALSE))</f>
        <v>72</v>
      </c>
      <c r="C7">
        <f>VLOOKUP(A7,'Sheet1 - Dataset'!$A$3:$E$10,5,FALSE)</f>
        <v>30</v>
      </c>
      <c r="D7" t="str">
        <f t="shared" si="0"/>
        <v>OK</v>
      </c>
    </row>
    <row r="8" spans="1:8" ht="15" customHeight="1" x14ac:dyDescent="0.3">
      <c r="A8" t="str">
        <f>'Sheet1 - Dataset'!A7</f>
        <v>SK005</v>
      </c>
      <c r="B8">
        <f>SUM(VLOOKUP(A8,'Sheet1 - Dataset'!$G$3:$J$10,2,FALSE),VLOOKUP(A8,'Sheet1 - Dataset'!$G$3:$J$10,3,FALSE),VLOOKUP(A8,'Sheet1 - Dataset'!$G$3:$J$10,4,FALSE))</f>
        <v>68</v>
      </c>
      <c r="C8">
        <f>VLOOKUP(A8,'Sheet1 - Dataset'!$A$3:$E$10,5,FALSE)</f>
        <v>25</v>
      </c>
      <c r="D8" t="str">
        <f t="shared" si="0"/>
        <v>OK</v>
      </c>
    </row>
    <row r="9" spans="1:8" ht="15" customHeight="1" x14ac:dyDescent="0.3">
      <c r="A9" t="str">
        <f>'Sheet1 - Dataset'!A8</f>
        <v>SK006</v>
      </c>
      <c r="B9">
        <f>SUM(VLOOKUP(A9,'Sheet1 - Dataset'!$G$3:$J$10,2,FALSE),VLOOKUP(A9,'Sheet1 - Dataset'!$G$3:$J$10,3,FALSE),VLOOKUP(A9,'Sheet1 - Dataset'!$G$3:$J$10,4,FALSE))</f>
        <v>128</v>
      </c>
      <c r="C9">
        <f>VLOOKUP(A9,'Sheet1 - Dataset'!$A$3:$E$10,5,FALSE)</f>
        <v>45</v>
      </c>
      <c r="D9" t="str">
        <f t="shared" si="0"/>
        <v>OK</v>
      </c>
    </row>
    <row r="10" spans="1:8" ht="15" customHeight="1" x14ac:dyDescent="0.3">
      <c r="A10" t="str">
        <f>'Sheet1 - Dataset'!A9</f>
        <v>SK007</v>
      </c>
      <c r="B10">
        <f>SUM(VLOOKUP(A10,'Sheet1 - Dataset'!$G$3:$J$10,2,FALSE),VLOOKUP(A10,'Sheet1 - Dataset'!$G$3:$J$10,3,FALSE),VLOOKUP(A10,'Sheet1 - Dataset'!$G$3:$J$10,4,FALSE))</f>
        <v>9</v>
      </c>
      <c r="C10">
        <f>VLOOKUP(A10,'Sheet1 - Dataset'!$A$3:$E$10,5,FALSE)</f>
        <v>20</v>
      </c>
      <c r="D10" t="str">
        <f t="shared" si="0"/>
        <v>Reorder Now</v>
      </c>
    </row>
    <row r="11" spans="1:8" ht="15" customHeight="1" x14ac:dyDescent="0.3">
      <c r="A11" t="str">
        <f>'Sheet1 - Dataset'!A10</f>
        <v>SK008</v>
      </c>
      <c r="B11">
        <f>SUM(VLOOKUP(A11,'Sheet1 - Dataset'!$G$3:$J$10,2,FALSE),VLOOKUP(A11,'Sheet1 - Dataset'!$G$3:$J$10,3,FALSE),VLOOKUP(A11,'Sheet1 - Dataset'!$G$3:$J$10,4,FALSE))</f>
        <v>75</v>
      </c>
      <c r="C11">
        <f>VLOOKUP(A11,'Sheet1 - Dataset'!$A$3:$E$10,5,FALSE)</f>
        <v>30</v>
      </c>
      <c r="D11" t="str">
        <f t="shared" si="0"/>
        <v>OK</v>
      </c>
    </row>
  </sheetData>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topLeftCell="D1" zoomScaleNormal="100" workbookViewId="0">
      <selection activeCell="G4" sqref="G4:G23"/>
    </sheetView>
  </sheetViews>
  <sheetFormatPr defaultColWidth="8.6640625" defaultRowHeight="14.4" x14ac:dyDescent="0.3"/>
  <cols>
    <col min="1" max="1" width="9" customWidth="1"/>
    <col min="2" max="2" width="8" customWidth="1"/>
    <col min="3" max="3" width="9" customWidth="1"/>
    <col min="4" max="5" width="22" customWidth="1"/>
    <col min="6" max="6" width="11" customWidth="1"/>
    <col min="7" max="7" width="10.33203125" style="41" bestFit="1" customWidth="1"/>
  </cols>
  <sheetData>
    <row r="1" spans="1:8" ht="21.75" customHeight="1" x14ac:dyDescent="0.3">
      <c r="A1" s="32" t="s">
        <v>84</v>
      </c>
      <c r="B1" s="33"/>
      <c r="C1" s="33"/>
      <c r="D1" s="33"/>
      <c r="E1" s="33"/>
      <c r="F1" s="33"/>
      <c r="G1" s="33"/>
      <c r="H1" s="33"/>
    </row>
    <row r="3" spans="1:8" ht="15" customHeight="1" x14ac:dyDescent="0.3">
      <c r="A3" s="2" t="s">
        <v>11</v>
      </c>
      <c r="B3" s="2" t="s">
        <v>3</v>
      </c>
      <c r="C3" s="2" t="s">
        <v>13</v>
      </c>
      <c r="D3" s="2" t="s">
        <v>85</v>
      </c>
      <c r="E3" s="2" t="s">
        <v>86</v>
      </c>
      <c r="F3" s="2" t="s">
        <v>87</v>
      </c>
      <c r="G3" s="41" t="s">
        <v>12</v>
      </c>
    </row>
    <row r="4" spans="1:8" ht="15" customHeight="1" x14ac:dyDescent="0.3">
      <c r="A4" t="str">
        <f>'Sheet1 - Dataset'!K3</f>
        <v>O001</v>
      </c>
      <c r="B4" t="str">
        <f>'Sheet1 - Dataset'!L3</f>
        <v>SK001</v>
      </c>
      <c r="C4">
        <f>'Sheet1 - Dataset'!N3</f>
        <v>25</v>
      </c>
      <c r="D4" t="str">
        <f>IFERROR(VLOOKUP(B4,'Sheet1 - Dataset'!$A$3:$E$10,3,FALSE),"Not Found")</f>
        <v>Peripherals</v>
      </c>
      <c r="E4">
        <f>IFERROR(VLOOKUP(B4,'Sheet1 - Dataset'!$A$3:$E$10,4,FALSE),0)</f>
        <v>450</v>
      </c>
      <c r="F4">
        <f>C4*E4</f>
        <v>11250</v>
      </c>
      <c r="G4" s="41">
        <f>IFERROR(DATEVALUE('Sheet1 - Dataset'!M3),'Sheet1 - Dataset'!M3)</f>
        <v>46027</v>
      </c>
      <c r="H4" t="b">
        <f>ISNUMBER(G4)</f>
        <v>1</v>
      </c>
    </row>
    <row r="5" spans="1:8" ht="15" customHeight="1" x14ac:dyDescent="0.3">
      <c r="A5" t="str">
        <f>'Sheet1 - Dataset'!K4</f>
        <v>O002</v>
      </c>
      <c r="B5" t="str">
        <f>'Sheet1 - Dataset'!L4</f>
        <v>SK001</v>
      </c>
      <c r="C5">
        <f>'Sheet1 - Dataset'!N4</f>
        <v>30</v>
      </c>
      <c r="D5" t="str">
        <f>IFERROR(VLOOKUP(B5,'Sheet1 - Dataset'!$A$3:$E$10,3,FALSE),"Not Found")</f>
        <v>Peripherals</v>
      </c>
      <c r="E5">
        <f>IFERROR(VLOOKUP(B5,'Sheet1 - Dataset'!$A$3:$E$10,4,FALSE),0)</f>
        <v>450</v>
      </c>
      <c r="F5">
        <f>C5*E5</f>
        <v>13500</v>
      </c>
      <c r="G5" s="41">
        <f>IFERROR(DATEVALUE('Sheet1 - Dataset'!M4),'Sheet1 - Dataset'!M4)</f>
        <v>46063</v>
      </c>
    </row>
    <row r="6" spans="1:8" ht="15" customHeight="1" x14ac:dyDescent="0.3">
      <c r="A6" t="str">
        <f>'Sheet1 - Dataset'!K5</f>
        <v>O003</v>
      </c>
      <c r="B6" t="str">
        <f>'Sheet1 - Dataset'!L5</f>
        <v>SK001</v>
      </c>
      <c r="C6">
        <f>'Sheet1 - Dataset'!N5</f>
        <v>40</v>
      </c>
      <c r="D6" t="str">
        <f>IFERROR(VLOOKUP(B6,'Sheet1 - Dataset'!$A$3:$E$10,3,FALSE),"Not Found")</f>
        <v>Peripherals</v>
      </c>
      <c r="E6">
        <f>IFERROR(VLOOKUP(B6,'Sheet1 - Dataset'!$A$3:$E$10,4,FALSE),0)</f>
        <v>450</v>
      </c>
      <c r="F6">
        <f t="shared" ref="F5:F23" si="0">C6*E6</f>
        <v>18000</v>
      </c>
      <c r="G6" s="41">
        <f>IFERROR(DATEVALUE('Sheet1 - Dataset'!M5),'Sheet1 - Dataset'!M5)</f>
        <v>46083</v>
      </c>
    </row>
    <row r="7" spans="1:8" ht="15" customHeight="1" x14ac:dyDescent="0.3">
      <c r="A7" t="str">
        <f>'Sheet1 - Dataset'!K6</f>
        <v>O004</v>
      </c>
      <c r="B7" t="str">
        <f>'Sheet1 - Dataset'!L6</f>
        <v>SK002</v>
      </c>
      <c r="C7">
        <f>'Sheet1 - Dataset'!N6</f>
        <v>18</v>
      </c>
      <c r="D7" t="str">
        <f>IFERROR(VLOOKUP(B7,'Sheet1 - Dataset'!$A$3:$E$10,3,FALSE),"Not Found")</f>
        <v>Peripherals</v>
      </c>
      <c r="E7">
        <f>IFERROR(VLOOKUP(B7,'Sheet1 - Dataset'!$A$3:$E$10,4,FALSE),0)</f>
        <v>650</v>
      </c>
      <c r="F7">
        <f t="shared" si="0"/>
        <v>11700</v>
      </c>
      <c r="G7" s="41">
        <f>IFERROR(DATEVALUE('Sheet1 - Dataset'!M6),'Sheet1 - Dataset'!M6)</f>
        <v>46034</v>
      </c>
    </row>
    <row r="8" spans="1:8" ht="15" customHeight="1" x14ac:dyDescent="0.3">
      <c r="A8" t="str">
        <f>'Sheet1 - Dataset'!K7</f>
        <v>O005</v>
      </c>
      <c r="B8" t="str">
        <f>'Sheet1 - Dataset'!L7</f>
        <v>SK002</v>
      </c>
      <c r="C8">
        <f>'Sheet1 - Dataset'!N7</f>
        <v>22</v>
      </c>
      <c r="D8" t="str">
        <f>IFERROR(VLOOKUP(B8,'Sheet1 - Dataset'!$A$3:$E$10,3,FALSE),"Not Found")</f>
        <v>Peripherals</v>
      </c>
      <c r="E8">
        <f>IFERROR(VLOOKUP(B8,'Sheet1 - Dataset'!$A$3:$E$10,4,FALSE),0)</f>
        <v>650</v>
      </c>
      <c r="F8">
        <f t="shared" si="0"/>
        <v>14300</v>
      </c>
      <c r="G8" s="41">
        <f>IFERROR(DATEVALUE('Sheet1 - Dataset'!M7),'Sheet1 - Dataset'!M7)</f>
        <v>46073</v>
      </c>
    </row>
    <row r="9" spans="1:8" ht="15" customHeight="1" x14ac:dyDescent="0.3">
      <c r="A9" t="str">
        <f>'Sheet1 - Dataset'!K8</f>
        <v>O006</v>
      </c>
      <c r="B9" t="str">
        <f>'Sheet1 - Dataset'!L8</f>
        <v>SK003</v>
      </c>
      <c r="C9">
        <f>'Sheet1 - Dataset'!N8</f>
        <v>8</v>
      </c>
      <c r="D9" t="str">
        <f>IFERROR(VLOOKUP(B9,'Sheet1 - Dataset'!$A$3:$E$10,3,FALSE),"Not Found")</f>
        <v>Displays</v>
      </c>
      <c r="E9">
        <f>IFERROR(VLOOKUP(B9,'Sheet1 - Dataset'!$A$3:$E$10,4,FALSE),0)</f>
        <v>12500</v>
      </c>
      <c r="F9">
        <f t="shared" si="0"/>
        <v>100000</v>
      </c>
      <c r="G9" s="41">
        <f>IFERROR(DATEVALUE('Sheet1 - Dataset'!M8),'Sheet1 - Dataset'!M8)</f>
        <v>46030</v>
      </c>
    </row>
    <row r="10" spans="1:8" ht="15" customHeight="1" x14ac:dyDescent="0.3">
      <c r="A10" t="str">
        <f>'Sheet1 - Dataset'!K9</f>
        <v>O007</v>
      </c>
      <c r="B10" t="str">
        <f>'Sheet1 - Dataset'!L9</f>
        <v>SK003</v>
      </c>
      <c r="C10">
        <f>'Sheet1 - Dataset'!N9</f>
        <v>12</v>
      </c>
      <c r="D10" t="str">
        <f>IFERROR(VLOOKUP(B10,'Sheet1 - Dataset'!$A$3:$E$10,3,FALSE),"Not Found")</f>
        <v>Displays</v>
      </c>
      <c r="E10">
        <f>IFERROR(VLOOKUP(B10,'Sheet1 - Dataset'!$A$3:$E$10,4,FALSE),0)</f>
        <v>12500</v>
      </c>
      <c r="F10">
        <f t="shared" si="0"/>
        <v>150000</v>
      </c>
      <c r="G10" s="41">
        <f>IFERROR(DATEVALUE('Sheet1 - Dataset'!M9),'Sheet1 - Dataset'!M9)</f>
        <v>46096</v>
      </c>
    </row>
    <row r="11" spans="1:8" ht="15" customHeight="1" x14ac:dyDescent="0.3">
      <c r="A11" t="str">
        <f>'Sheet1 - Dataset'!K10</f>
        <v>O008</v>
      </c>
      <c r="B11" t="str">
        <f>'Sheet1 - Dataset'!L10</f>
        <v>SK004</v>
      </c>
      <c r="C11">
        <f>'Sheet1 - Dataset'!N10</f>
        <v>15</v>
      </c>
      <c r="D11" t="str">
        <f>IFERROR(VLOOKUP(B11,'Sheet1 - Dataset'!$A$3:$E$10,3,FALSE),"Not Found")</f>
        <v>Accessories</v>
      </c>
      <c r="E11">
        <f>IFERROR(VLOOKUP(B11,'Sheet1 - Dataset'!$A$3:$E$10,4,FALSE),0)</f>
        <v>900</v>
      </c>
      <c r="F11">
        <f t="shared" si="0"/>
        <v>13500</v>
      </c>
      <c r="G11" s="41">
        <f>IFERROR(DATEVALUE('Sheet1 - Dataset'!M10),'Sheet1 - Dataset'!M10)</f>
        <v>46054</v>
      </c>
    </row>
    <row r="12" spans="1:8" ht="15" customHeight="1" x14ac:dyDescent="0.3">
      <c r="A12" t="str">
        <f>'Sheet1 - Dataset'!K11</f>
        <v>O009</v>
      </c>
      <c r="B12" t="str">
        <f>'Sheet1 - Dataset'!L11</f>
        <v>SK004</v>
      </c>
      <c r="C12">
        <f>'Sheet1 - Dataset'!N11</f>
        <v>20</v>
      </c>
      <c r="D12" t="str">
        <f>IFERROR(VLOOKUP(B12,'Sheet1 - Dataset'!$A$3:$E$10,3,FALSE),"Not Found")</f>
        <v>Accessories</v>
      </c>
      <c r="E12">
        <f>IFERROR(VLOOKUP(B12,'Sheet1 - Dataset'!$A$3:$E$10,4,FALSE),0)</f>
        <v>900</v>
      </c>
      <c r="F12">
        <f t="shared" si="0"/>
        <v>18000</v>
      </c>
      <c r="G12" s="41">
        <f>IFERROR(DATEVALUE('Sheet1 - Dataset'!M11),'Sheet1 - Dataset'!M11)</f>
        <v>46091</v>
      </c>
    </row>
    <row r="13" spans="1:8" ht="15" customHeight="1" x14ac:dyDescent="0.3">
      <c r="A13" t="str">
        <f>'Sheet1 - Dataset'!K12</f>
        <v>O010</v>
      </c>
      <c r="B13" t="str">
        <f>'Sheet1 - Dataset'!L12</f>
        <v>SK005</v>
      </c>
      <c r="C13">
        <f>'Sheet1 - Dataset'!N12</f>
        <v>14</v>
      </c>
      <c r="D13" t="str">
        <f>IFERROR(VLOOKUP(B13,'Sheet1 - Dataset'!$A$3:$E$10,3,FALSE),"Not Found")</f>
        <v>Peripherals</v>
      </c>
      <c r="E13">
        <f>IFERROR(VLOOKUP(B13,'Sheet1 - Dataset'!$A$3:$E$10,4,FALSE),0)</f>
        <v>2200</v>
      </c>
      <c r="F13">
        <f t="shared" si="0"/>
        <v>30800</v>
      </c>
      <c r="G13" s="41">
        <f>IFERROR(DATEVALUE('Sheet1 - Dataset'!M12),'Sheet1 - Dataset'!M12)</f>
        <v>46047</v>
      </c>
    </row>
    <row r="14" spans="1:8" ht="15" customHeight="1" x14ac:dyDescent="0.3">
      <c r="A14" t="str">
        <f>'Sheet1 - Dataset'!K13</f>
        <v>O011</v>
      </c>
      <c r="B14" t="str">
        <f>'Sheet1 - Dataset'!L13</f>
        <v>SK005</v>
      </c>
      <c r="C14">
        <f>'Sheet1 - Dataset'!N13</f>
        <v>16</v>
      </c>
      <c r="D14" t="str">
        <f>IFERROR(VLOOKUP(B14,'Sheet1 - Dataset'!$A$3:$E$10,3,FALSE),"Not Found")</f>
        <v>Peripherals</v>
      </c>
      <c r="E14">
        <f>IFERROR(VLOOKUP(B14,'Sheet1 - Dataset'!$A$3:$E$10,4,FALSE),0)</f>
        <v>2200</v>
      </c>
      <c r="F14">
        <f t="shared" si="0"/>
        <v>35200</v>
      </c>
      <c r="G14" s="41">
        <f>IFERROR(DATEVALUE('Sheet1 - Dataset'!M13),'Sheet1 - Dataset'!M13)</f>
        <v>46081</v>
      </c>
    </row>
    <row r="15" spans="1:8" ht="15" customHeight="1" x14ac:dyDescent="0.3">
      <c r="A15" t="str">
        <f>'Sheet1 - Dataset'!K14</f>
        <v>O012</v>
      </c>
      <c r="B15" t="str">
        <f>'Sheet1 - Dataset'!L14</f>
        <v>SK006</v>
      </c>
      <c r="C15">
        <f>'Sheet1 - Dataset'!N14</f>
        <v>28</v>
      </c>
      <c r="D15" t="str">
        <f>IFERROR(VLOOKUP(B15,'Sheet1 - Dataset'!$A$3:$E$10,3,FALSE),"Not Found")</f>
        <v>Accessories</v>
      </c>
      <c r="E15">
        <f>IFERROR(VLOOKUP(B15,'Sheet1 - Dataset'!$A$3:$E$10,4,FALSE),0)</f>
        <v>750</v>
      </c>
      <c r="F15">
        <f t="shared" si="0"/>
        <v>21000</v>
      </c>
      <c r="G15" s="41">
        <f>IFERROR(DATEVALUE('Sheet1 - Dataset'!M14),'Sheet1 - Dataset'!M14)</f>
        <v>46040</v>
      </c>
    </row>
    <row r="16" spans="1:8" ht="15" customHeight="1" x14ac:dyDescent="0.3">
      <c r="A16" t="str">
        <f>'Sheet1 - Dataset'!K15</f>
        <v>O013</v>
      </c>
      <c r="B16" t="str">
        <f>'Sheet1 - Dataset'!L15</f>
        <v>SK006</v>
      </c>
      <c r="C16">
        <f>'Sheet1 - Dataset'!N15</f>
        <v>32</v>
      </c>
      <c r="D16" t="str">
        <f>IFERROR(VLOOKUP(B16,'Sheet1 - Dataset'!$A$3:$E$10,3,FALSE),"Not Found")</f>
        <v>Accessories</v>
      </c>
      <c r="E16">
        <f>IFERROR(VLOOKUP(B16,'Sheet1 - Dataset'!$A$3:$E$10,4,FALSE),0)</f>
        <v>750</v>
      </c>
      <c r="F16">
        <f t="shared" si="0"/>
        <v>24000</v>
      </c>
      <c r="G16" s="41">
        <f>IFERROR(DATEVALUE('Sheet1 - Dataset'!M15),'Sheet1 - Dataset'!M15)</f>
        <v>46086</v>
      </c>
    </row>
    <row r="17" spans="1:7" ht="15" customHeight="1" x14ac:dyDescent="0.3">
      <c r="A17" t="str">
        <f>'Sheet1 - Dataset'!K16</f>
        <v>O014</v>
      </c>
      <c r="B17" t="str">
        <f>'Sheet1 - Dataset'!L16</f>
        <v>SK007</v>
      </c>
      <c r="C17">
        <f>'Sheet1 - Dataset'!N16</f>
        <v>10</v>
      </c>
      <c r="D17" t="str">
        <f>IFERROR(VLOOKUP(B17,'Sheet1 - Dataset'!$A$3:$E$10,3,FALSE),"Not Found")</f>
        <v>Audio</v>
      </c>
      <c r="E17">
        <f>IFERROR(VLOOKUP(B17,'Sheet1 - Dataset'!$A$3:$E$10,4,FALSE),0)</f>
        <v>4500</v>
      </c>
      <c r="F17">
        <f t="shared" si="0"/>
        <v>45000</v>
      </c>
      <c r="G17" s="41">
        <f>IFERROR(DATEVALUE('Sheet1 - Dataset'!M16),'Sheet1 - Dataset'!M16)</f>
        <v>46067</v>
      </c>
    </row>
    <row r="18" spans="1:7" ht="15" customHeight="1" x14ac:dyDescent="0.3">
      <c r="A18" t="str">
        <f>'Sheet1 - Dataset'!K17</f>
        <v>O015</v>
      </c>
      <c r="B18" t="str">
        <f>'Sheet1 - Dataset'!L17</f>
        <v>SK007</v>
      </c>
      <c r="C18">
        <f>'Sheet1 - Dataset'!N17</f>
        <v>9</v>
      </c>
      <c r="D18" t="str">
        <f>IFERROR(VLOOKUP(B18,'Sheet1 - Dataset'!$A$3:$E$10,3,FALSE),"Not Found")</f>
        <v>Audio</v>
      </c>
      <c r="E18">
        <f>IFERROR(VLOOKUP(B18,'Sheet1 - Dataset'!$A$3:$E$10,4,FALSE),0)</f>
        <v>4500</v>
      </c>
      <c r="F18">
        <f t="shared" si="0"/>
        <v>40500</v>
      </c>
      <c r="G18" s="41">
        <f>IFERROR(DATEVALUE('Sheet1 - Dataset'!M17),'Sheet1 - Dataset'!M17)</f>
        <v>46101</v>
      </c>
    </row>
    <row r="19" spans="1:7" ht="15" customHeight="1" x14ac:dyDescent="0.3">
      <c r="A19" t="str">
        <f>'Sheet1 - Dataset'!K18</f>
        <v>O016</v>
      </c>
      <c r="B19" t="str">
        <f>'Sheet1 - Dataset'!L18</f>
        <v>SK008</v>
      </c>
      <c r="C19">
        <f>'Sheet1 - Dataset'!N18</f>
        <v>19</v>
      </c>
      <c r="D19" t="str">
        <f>IFERROR(VLOOKUP(B19,'Sheet1 - Dataset'!$A$3:$E$10,3,FALSE),"Not Found")</f>
        <v>Audio</v>
      </c>
      <c r="E19">
        <f>IFERROR(VLOOKUP(B19,'Sheet1 - Dataset'!$A$3:$E$10,4,FALSE),0)</f>
        <v>1800</v>
      </c>
      <c r="F19">
        <f t="shared" si="0"/>
        <v>34200</v>
      </c>
      <c r="G19" s="41">
        <f>IFERROR(DATEVALUE('Sheet1 - Dataset'!M18),'Sheet1 - Dataset'!M18)</f>
        <v>46052</v>
      </c>
    </row>
    <row r="20" spans="1:7" ht="15" customHeight="1" x14ac:dyDescent="0.3">
      <c r="A20" t="str">
        <f>'Sheet1 - Dataset'!K19</f>
        <v>O017</v>
      </c>
      <c r="B20" t="str">
        <f>'Sheet1 - Dataset'!L19</f>
        <v>SK008</v>
      </c>
      <c r="C20">
        <f>'Sheet1 - Dataset'!N19</f>
        <v>21</v>
      </c>
      <c r="D20" t="str">
        <f>IFERROR(VLOOKUP(B20,'Sheet1 - Dataset'!$A$3:$E$10,3,FALSE),"Not Found")</f>
        <v>Audio</v>
      </c>
      <c r="E20">
        <f>IFERROR(VLOOKUP(B20,'Sheet1 - Dataset'!$A$3:$E$10,4,FALSE),0)</f>
        <v>1800</v>
      </c>
      <c r="F20">
        <f t="shared" si="0"/>
        <v>37800</v>
      </c>
      <c r="G20" s="41">
        <f>IFERROR(DATEVALUE('Sheet1 - Dataset'!M19),'Sheet1 - Dataset'!M19)</f>
        <v>46075</v>
      </c>
    </row>
    <row r="21" spans="1:7" ht="15" customHeight="1" x14ac:dyDescent="0.3">
      <c r="A21" t="str">
        <f>'Sheet1 - Dataset'!K20</f>
        <v>O018</v>
      </c>
      <c r="B21" t="str">
        <f>'Sheet1 - Dataset'!L20</f>
        <v>SK001</v>
      </c>
      <c r="C21">
        <f>'Sheet1 - Dataset'!N20</f>
        <v>35</v>
      </c>
      <c r="D21" t="str">
        <f>IFERROR(VLOOKUP(B21,'Sheet1 - Dataset'!$A$3:$E$10,3,FALSE),"Not Found")</f>
        <v>Peripherals</v>
      </c>
      <c r="E21">
        <f>IFERROR(VLOOKUP(B21,'Sheet1 - Dataset'!$A$3:$E$10,4,FALSE),0)</f>
        <v>450</v>
      </c>
      <c r="F21">
        <f t="shared" si="0"/>
        <v>15750</v>
      </c>
      <c r="G21" s="41">
        <f>IFERROR(DATEVALUE('Sheet1 - Dataset'!M20),'Sheet1 - Dataset'!M20)</f>
        <v>46106</v>
      </c>
    </row>
    <row r="22" spans="1:7" ht="15" customHeight="1" x14ac:dyDescent="0.3">
      <c r="A22" t="str">
        <f>'Sheet1 - Dataset'!K21</f>
        <v>O019</v>
      </c>
      <c r="B22" t="str">
        <f>'Sheet1 - Dataset'!L21</f>
        <v>SK003</v>
      </c>
      <c r="C22">
        <f>'Sheet1 - Dataset'!N21</f>
        <v>10</v>
      </c>
      <c r="D22" t="str">
        <f>IFERROR(VLOOKUP(B22,'Sheet1 - Dataset'!$A$3:$E$10,3,FALSE),"Not Found")</f>
        <v>Displays</v>
      </c>
      <c r="E22">
        <f>IFERROR(VLOOKUP(B22,'Sheet1 - Dataset'!$A$3:$E$10,4,FALSE),0)</f>
        <v>12500</v>
      </c>
      <c r="F22">
        <f t="shared" si="0"/>
        <v>125000</v>
      </c>
      <c r="G22" s="41">
        <f>IFERROR(DATEVALUE('Sheet1 - Dataset'!M21),'Sheet1 - Dataset'!M21)</f>
        <v>46058</v>
      </c>
    </row>
    <row r="23" spans="1:7" ht="15" customHeight="1" x14ac:dyDescent="0.3">
      <c r="A23" t="str">
        <f>'Sheet1 - Dataset'!K22</f>
        <v>O020</v>
      </c>
      <c r="B23" t="str">
        <f>'Sheet1 - Dataset'!L22</f>
        <v>SK006</v>
      </c>
      <c r="C23">
        <f>'Sheet1 - Dataset'!N22</f>
        <v>18</v>
      </c>
      <c r="D23" t="str">
        <f>IFERROR(VLOOKUP(B23,'Sheet1 - Dataset'!$A$3:$E$10,3,FALSE),"Not Found")</f>
        <v>Accessories</v>
      </c>
      <c r="E23">
        <f>IFERROR(VLOOKUP(B23,'Sheet1 - Dataset'!$A$3:$E$10,4,FALSE),0)</f>
        <v>750</v>
      </c>
      <c r="F23">
        <f t="shared" si="0"/>
        <v>13500</v>
      </c>
      <c r="G23" s="41">
        <f>IFERROR(DATEVALUE('Sheet1 - Dataset'!M22),'Sheet1 - Dataset'!M22)</f>
        <v>46068</v>
      </c>
    </row>
    <row r="24" spans="1:7" x14ac:dyDescent="0.3">
      <c r="F24">
        <f>SUM(F4:F23)</f>
        <v>773000</v>
      </c>
    </row>
  </sheetData>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zoomScaleNormal="100" workbookViewId="0">
      <selection activeCell="I10" sqref="I10"/>
    </sheetView>
  </sheetViews>
  <sheetFormatPr defaultColWidth="8.6640625" defaultRowHeight="14.4" x14ac:dyDescent="0.3"/>
  <cols>
    <col min="1" max="1" width="24" customWidth="1"/>
    <col min="2" max="4" width="12" customWidth="1"/>
  </cols>
  <sheetData>
    <row r="1" spans="1:8" ht="21.75" customHeight="1" x14ac:dyDescent="0.3">
      <c r="A1" s="32" t="s">
        <v>88</v>
      </c>
      <c r="B1" s="33"/>
      <c r="C1" s="33"/>
      <c r="D1" s="33"/>
      <c r="E1" s="33"/>
      <c r="F1" s="33"/>
      <c r="G1" s="33"/>
      <c r="H1" s="33"/>
    </row>
    <row r="3" spans="1:8" ht="15" customHeight="1" x14ac:dyDescent="0.3">
      <c r="A3" s="1" t="s">
        <v>89</v>
      </c>
    </row>
    <row r="4" spans="1:8" ht="15" customHeight="1" x14ac:dyDescent="0.3">
      <c r="A4" s="2" t="s">
        <v>3</v>
      </c>
      <c r="B4" s="2" t="s">
        <v>8</v>
      </c>
      <c r="C4" s="2" t="s">
        <v>9</v>
      </c>
      <c r="D4" s="2" t="s">
        <v>10</v>
      </c>
    </row>
    <row r="5" spans="1:8" ht="15" customHeight="1" x14ac:dyDescent="0.3">
      <c r="A5" t="str">
        <f>'Sheet1 - Dataset'!G3</f>
        <v>SK001</v>
      </c>
      <c r="B5">
        <f>'Sheet1 - Dataset'!H3</f>
        <v>35</v>
      </c>
      <c r="C5">
        <f>'Sheet1 - Dataset'!I3</f>
        <v>50</v>
      </c>
      <c r="D5">
        <f>'Sheet1 - Dataset'!J3</f>
        <v>20</v>
      </c>
    </row>
    <row r="6" spans="1:8" ht="15" customHeight="1" x14ac:dyDescent="0.3">
      <c r="A6" t="str">
        <f>'Sheet1 - Dataset'!G4</f>
        <v>SK002</v>
      </c>
      <c r="B6">
        <f>'Sheet1 - Dataset'!H4</f>
        <v>40</v>
      </c>
      <c r="C6">
        <f>'Sheet1 - Dataset'!I4</f>
        <v>15</v>
      </c>
      <c r="D6">
        <f>'Sheet1 - Dataset'!J4</f>
        <v>25</v>
      </c>
    </row>
    <row r="7" spans="1:8" ht="15" customHeight="1" x14ac:dyDescent="0.3">
      <c r="A7" t="str">
        <f>'Sheet1 - Dataset'!G5</f>
        <v>SK003</v>
      </c>
      <c r="B7">
        <f>'Sheet1 - Dataset'!H5</f>
        <v>5</v>
      </c>
      <c r="C7">
        <f>'Sheet1 - Dataset'!I5</f>
        <v>4</v>
      </c>
      <c r="D7">
        <f>'Sheet1 - Dataset'!J5</f>
        <v>3</v>
      </c>
    </row>
    <row r="8" spans="1:8" ht="15" customHeight="1" x14ac:dyDescent="0.3">
      <c r="A8" t="str">
        <f>'Sheet1 - Dataset'!G6</f>
        <v>SK004</v>
      </c>
      <c r="B8">
        <f>'Sheet1 - Dataset'!H6</f>
        <v>28</v>
      </c>
      <c r="C8">
        <f>'Sheet1 - Dataset'!I6</f>
        <v>32</v>
      </c>
      <c r="D8">
        <f>'Sheet1 - Dataset'!J6</f>
        <v>12</v>
      </c>
    </row>
    <row r="9" spans="1:8" ht="15" customHeight="1" x14ac:dyDescent="0.3">
      <c r="A9" t="str">
        <f>'Sheet1 - Dataset'!G7</f>
        <v>SK005</v>
      </c>
      <c r="B9">
        <f>'Sheet1 - Dataset'!H7</f>
        <v>20</v>
      </c>
      <c r="C9">
        <f>'Sheet1 - Dataset'!I7</f>
        <v>18</v>
      </c>
      <c r="D9">
        <f>'Sheet1 - Dataset'!J7</f>
        <v>30</v>
      </c>
    </row>
    <row r="10" spans="1:8" ht="15" customHeight="1" x14ac:dyDescent="0.3">
      <c r="A10" t="str">
        <f>'Sheet1 - Dataset'!G8</f>
        <v>SK006</v>
      </c>
      <c r="B10">
        <f>'Sheet1 - Dataset'!H8</f>
        <v>50</v>
      </c>
      <c r="C10">
        <f>'Sheet1 - Dataset'!I8</f>
        <v>40</v>
      </c>
      <c r="D10">
        <f>'Sheet1 - Dataset'!J8</f>
        <v>38</v>
      </c>
    </row>
    <row r="11" spans="1:8" ht="15" customHeight="1" x14ac:dyDescent="0.3">
      <c r="A11" t="str">
        <f>'Sheet1 - Dataset'!G9</f>
        <v>SK007</v>
      </c>
      <c r="B11">
        <f>'Sheet1 - Dataset'!H9</f>
        <v>4</v>
      </c>
      <c r="C11">
        <f>'Sheet1 - Dataset'!I9</f>
        <v>3</v>
      </c>
      <c r="D11">
        <f>'Sheet1 - Dataset'!J9</f>
        <v>2</v>
      </c>
    </row>
    <row r="12" spans="1:8" ht="15" customHeight="1" x14ac:dyDescent="0.3">
      <c r="A12" t="str">
        <f>'Sheet1 - Dataset'!G10</f>
        <v>SK008</v>
      </c>
      <c r="B12">
        <f>'Sheet1 - Dataset'!H10</f>
        <v>25</v>
      </c>
      <c r="C12">
        <f>'Sheet1 - Dataset'!I10</f>
        <v>22</v>
      </c>
      <c r="D12">
        <f>'Sheet1 - Dataset'!J10</f>
        <v>28</v>
      </c>
    </row>
    <row r="14" spans="1:8" ht="15" customHeight="1" x14ac:dyDescent="0.3">
      <c r="A14" s="4" t="s">
        <v>90</v>
      </c>
    </row>
    <row r="16" spans="1:8" ht="15" customHeight="1" x14ac:dyDescent="0.3">
      <c r="A16" s="5" t="s">
        <v>91</v>
      </c>
      <c r="B16" t="s">
        <v>41</v>
      </c>
    </row>
    <row r="17" spans="1:2" ht="15" customHeight="1" x14ac:dyDescent="0.3">
      <c r="A17" s="5" t="s">
        <v>92</v>
      </c>
      <c r="B17" t="s">
        <v>9</v>
      </c>
    </row>
    <row r="18" spans="1:2" ht="17.25" customHeight="1" x14ac:dyDescent="0.3">
      <c r="A18" s="5" t="s">
        <v>93</v>
      </c>
      <c r="B18" s="6">
        <f>INDEX($B$5:$D$12,MATCH(B16,$A$5:$A$12,0),MATCH(B17,$B$4:$D$4,0))</f>
        <v>40</v>
      </c>
    </row>
  </sheetData>
  <mergeCells count="1">
    <mergeCell ref="A1:H1"/>
  </mergeCells>
  <dataValidations count="2">
    <dataValidation type="list" allowBlank="1" showInputMessage="1" showErrorMessage="1" sqref="A4 B16" xr:uid="{16D827D9-C099-4241-9EDE-6709F92F74B8}">
      <formula1>"SK001,SK002,SK003,SK004,SK005,SK006,SK007,SK008"</formula1>
    </dataValidation>
    <dataValidation type="list" allowBlank="1" showInputMessage="1" showErrorMessage="1" sqref="B17" xr:uid="{0A9EE23B-62B9-4251-B181-B0D078069284}">
      <formula1>"West,East,Central"</formula1>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7"/>
  <sheetViews>
    <sheetView topLeftCell="E9" zoomScaleNormal="100" workbookViewId="0">
      <selection activeCell="J9" sqref="J9"/>
    </sheetView>
  </sheetViews>
  <sheetFormatPr defaultColWidth="11.5546875" defaultRowHeight="14.4" x14ac:dyDescent="0.3"/>
  <cols>
    <col min="6" max="6" width="12.5546875" bestFit="1" customWidth="1"/>
    <col min="7" max="7" width="14.88671875" bestFit="1" customWidth="1"/>
    <col min="8" max="8" width="16.21875" bestFit="1" customWidth="1"/>
  </cols>
  <sheetData>
    <row r="1" spans="1:8" ht="13.5" customHeight="1" x14ac:dyDescent="0.3">
      <c r="A1" t="s">
        <v>94</v>
      </c>
    </row>
    <row r="2" spans="1:8" ht="13.5" customHeight="1" x14ac:dyDescent="0.3"/>
    <row r="3" spans="1:8" ht="13.5" customHeight="1" x14ac:dyDescent="0.3">
      <c r="A3" t="s">
        <v>95</v>
      </c>
    </row>
    <row r="4" spans="1:8" ht="13.5" customHeight="1" x14ac:dyDescent="0.3"/>
    <row r="5" spans="1:8" ht="13.5" customHeight="1" x14ac:dyDescent="0.3">
      <c r="A5" t="s">
        <v>96</v>
      </c>
    </row>
    <row r="6" spans="1:8" ht="13.5" customHeight="1" x14ac:dyDescent="0.3"/>
    <row r="7" spans="1:8" ht="13.5" customHeight="1" x14ac:dyDescent="0.3">
      <c r="A7" s="7" t="s">
        <v>85</v>
      </c>
      <c r="B7" s="8" t="s">
        <v>3</v>
      </c>
      <c r="C7" s="9" t="s">
        <v>97</v>
      </c>
      <c r="D7" s="10"/>
      <c r="F7" s="37" t="s">
        <v>135</v>
      </c>
      <c r="G7" t="s">
        <v>137</v>
      </c>
      <c r="H7" t="s">
        <v>138</v>
      </c>
    </row>
    <row r="8" spans="1:8" ht="13.5" customHeight="1" x14ac:dyDescent="0.3">
      <c r="A8" s="11" t="s">
        <v>34</v>
      </c>
      <c r="B8" s="12"/>
      <c r="C8" s="13"/>
      <c r="D8" s="14"/>
      <c r="F8" s="16" t="s">
        <v>34</v>
      </c>
      <c r="G8" s="39">
        <v>113</v>
      </c>
      <c r="H8" s="39">
        <v>90000</v>
      </c>
    </row>
    <row r="9" spans="1:8" ht="13.5" customHeight="1" x14ac:dyDescent="0.3">
      <c r="A9" s="15"/>
      <c r="B9" s="16" t="s">
        <v>32</v>
      </c>
      <c r="C9" s="17"/>
      <c r="D9" s="18"/>
      <c r="F9" s="38" t="s">
        <v>32</v>
      </c>
      <c r="G9" s="39">
        <v>35</v>
      </c>
      <c r="H9" s="39">
        <v>31500</v>
      </c>
    </row>
    <row r="10" spans="1:8" ht="13.5" customHeight="1" x14ac:dyDescent="0.3">
      <c r="A10" s="15"/>
      <c r="B10" s="16"/>
      <c r="C10" s="17" t="s">
        <v>98</v>
      </c>
      <c r="D10" s="19">
        <v>35</v>
      </c>
      <c r="F10" s="38" t="s">
        <v>41</v>
      </c>
      <c r="G10" s="39">
        <v>78</v>
      </c>
      <c r="H10" s="39">
        <v>58500</v>
      </c>
    </row>
    <row r="11" spans="1:8" ht="13.5" customHeight="1" x14ac:dyDescent="0.3">
      <c r="A11" s="15"/>
      <c r="B11" s="16"/>
      <c r="C11" s="17" t="s">
        <v>99</v>
      </c>
      <c r="D11" s="20">
        <v>31500</v>
      </c>
      <c r="F11" s="16" t="s">
        <v>47</v>
      </c>
      <c r="G11" s="39">
        <v>59</v>
      </c>
      <c r="H11" s="39">
        <v>157500</v>
      </c>
    </row>
    <row r="12" spans="1:8" ht="13.5" customHeight="1" x14ac:dyDescent="0.3">
      <c r="A12" s="15"/>
      <c r="B12" s="16" t="s">
        <v>41</v>
      </c>
      <c r="C12" s="17"/>
      <c r="D12" s="18"/>
      <c r="F12" s="38" t="s">
        <v>45</v>
      </c>
      <c r="G12" s="39">
        <v>19</v>
      </c>
      <c r="H12" s="39">
        <v>85500</v>
      </c>
    </row>
    <row r="13" spans="1:8" ht="13.5" customHeight="1" x14ac:dyDescent="0.3">
      <c r="A13" s="15"/>
      <c r="B13" s="16"/>
      <c r="C13" s="17" t="s">
        <v>98</v>
      </c>
      <c r="D13" s="19">
        <v>78</v>
      </c>
      <c r="F13" s="38" t="s">
        <v>50</v>
      </c>
      <c r="G13" s="39">
        <v>40</v>
      </c>
      <c r="H13" s="39">
        <v>72000</v>
      </c>
    </row>
    <row r="14" spans="1:8" ht="13.5" customHeight="1" x14ac:dyDescent="0.3">
      <c r="A14" s="15"/>
      <c r="B14" s="16"/>
      <c r="C14" s="17" t="s">
        <v>99</v>
      </c>
      <c r="D14" s="20">
        <v>58500</v>
      </c>
      <c r="F14" s="16" t="s">
        <v>29</v>
      </c>
      <c r="G14" s="39">
        <v>30</v>
      </c>
      <c r="H14" s="39">
        <v>375000</v>
      </c>
    </row>
    <row r="15" spans="1:8" ht="13.5" customHeight="1" x14ac:dyDescent="0.3">
      <c r="A15" s="15" t="s">
        <v>47</v>
      </c>
      <c r="B15" s="16"/>
      <c r="C15" s="17"/>
      <c r="D15" s="14"/>
      <c r="F15" s="38" t="s">
        <v>27</v>
      </c>
      <c r="G15" s="39">
        <v>30</v>
      </c>
      <c r="H15" s="39">
        <v>375000</v>
      </c>
    </row>
    <row r="16" spans="1:8" ht="13.5" customHeight="1" x14ac:dyDescent="0.3">
      <c r="A16" s="15"/>
      <c r="B16" s="16" t="s">
        <v>45</v>
      </c>
      <c r="C16" s="17"/>
      <c r="D16" s="18"/>
      <c r="F16" s="16" t="s">
        <v>18</v>
      </c>
      <c r="G16" s="39">
        <v>200</v>
      </c>
      <c r="H16" s="39">
        <v>150500</v>
      </c>
    </row>
    <row r="17" spans="1:8" ht="13.5" customHeight="1" x14ac:dyDescent="0.3">
      <c r="A17" s="15"/>
      <c r="B17" s="16"/>
      <c r="C17" s="17" t="s">
        <v>98</v>
      </c>
      <c r="D17" s="19">
        <v>19</v>
      </c>
      <c r="F17" s="38" t="s">
        <v>16</v>
      </c>
      <c r="G17" s="39">
        <v>130</v>
      </c>
      <c r="H17" s="39">
        <v>58500</v>
      </c>
    </row>
    <row r="18" spans="1:8" ht="13.5" customHeight="1" x14ac:dyDescent="0.3">
      <c r="A18" s="15"/>
      <c r="B18" s="16"/>
      <c r="C18" s="17" t="s">
        <v>99</v>
      </c>
      <c r="D18" s="20">
        <v>85500</v>
      </c>
      <c r="F18" s="38" t="s">
        <v>22</v>
      </c>
      <c r="G18" s="39">
        <v>40</v>
      </c>
      <c r="H18" s="39">
        <v>26000</v>
      </c>
    </row>
    <row r="19" spans="1:8" ht="13.5" customHeight="1" x14ac:dyDescent="0.3">
      <c r="A19" s="15"/>
      <c r="B19" s="16" t="s">
        <v>50</v>
      </c>
      <c r="C19" s="17"/>
      <c r="D19" s="18"/>
      <c r="F19" s="38" t="s">
        <v>37</v>
      </c>
      <c r="G19" s="39">
        <v>30</v>
      </c>
      <c r="H19" s="39">
        <v>66000</v>
      </c>
    </row>
    <row r="20" spans="1:8" ht="13.5" customHeight="1" x14ac:dyDescent="0.3">
      <c r="A20" s="15"/>
      <c r="B20" s="16"/>
      <c r="C20" s="17" t="s">
        <v>98</v>
      </c>
      <c r="D20" s="19">
        <v>40</v>
      </c>
      <c r="F20" s="16" t="s">
        <v>136</v>
      </c>
      <c r="G20" s="39">
        <v>402</v>
      </c>
      <c r="H20" s="39">
        <v>773000</v>
      </c>
    </row>
    <row r="21" spans="1:8" ht="13.5" customHeight="1" x14ac:dyDescent="0.3">
      <c r="A21" s="15"/>
      <c r="B21" s="16"/>
      <c r="C21" s="17" t="s">
        <v>99</v>
      </c>
      <c r="D21" s="20">
        <v>72000</v>
      </c>
    </row>
    <row r="22" spans="1:8" ht="13.5" customHeight="1" x14ac:dyDescent="0.3">
      <c r="A22" s="15" t="s">
        <v>29</v>
      </c>
      <c r="B22" s="16"/>
      <c r="C22" s="17"/>
      <c r="D22" s="14"/>
    </row>
    <row r="23" spans="1:8" ht="13.5" customHeight="1" x14ac:dyDescent="0.3">
      <c r="A23" s="15"/>
      <c r="B23" s="16" t="s">
        <v>27</v>
      </c>
      <c r="C23" s="17"/>
      <c r="D23" s="18"/>
    </row>
    <row r="24" spans="1:8" ht="13.5" customHeight="1" x14ac:dyDescent="0.3">
      <c r="A24" s="15"/>
      <c r="B24" s="16"/>
      <c r="C24" s="17" t="s">
        <v>98</v>
      </c>
      <c r="D24" s="19">
        <v>30</v>
      </c>
    </row>
    <row r="25" spans="1:8" ht="13.5" customHeight="1" x14ac:dyDescent="0.3">
      <c r="A25" s="15"/>
      <c r="B25" s="16"/>
      <c r="C25" s="17" t="s">
        <v>99</v>
      </c>
      <c r="D25" s="20">
        <v>375000</v>
      </c>
    </row>
    <row r="26" spans="1:8" ht="13.5" customHeight="1" x14ac:dyDescent="0.3">
      <c r="A26" s="15" t="s">
        <v>18</v>
      </c>
      <c r="B26" s="16"/>
      <c r="C26" s="17"/>
      <c r="D26" s="14"/>
    </row>
    <row r="27" spans="1:8" ht="13.5" customHeight="1" x14ac:dyDescent="0.3">
      <c r="A27" s="15"/>
      <c r="B27" s="16" t="s">
        <v>16</v>
      </c>
      <c r="C27" s="17"/>
      <c r="D27" s="18"/>
    </row>
    <row r="28" spans="1:8" ht="13.5" customHeight="1" x14ac:dyDescent="0.3">
      <c r="A28" s="15"/>
      <c r="B28" s="16"/>
      <c r="C28" s="17" t="s">
        <v>98</v>
      </c>
      <c r="D28" s="19">
        <v>130</v>
      </c>
    </row>
    <row r="29" spans="1:8" ht="13.5" customHeight="1" x14ac:dyDescent="0.3">
      <c r="A29" s="15"/>
      <c r="B29" s="16"/>
      <c r="C29" s="17" t="s">
        <v>99</v>
      </c>
      <c r="D29" s="20">
        <v>58500</v>
      </c>
    </row>
    <row r="30" spans="1:8" ht="13.5" customHeight="1" x14ac:dyDescent="0.3">
      <c r="A30" s="15"/>
      <c r="B30" s="16" t="s">
        <v>22</v>
      </c>
      <c r="C30" s="17"/>
      <c r="D30" s="18"/>
    </row>
    <row r="31" spans="1:8" ht="13.5" customHeight="1" x14ac:dyDescent="0.3">
      <c r="A31" s="15"/>
      <c r="B31" s="16"/>
      <c r="C31" s="17" t="s">
        <v>98</v>
      </c>
      <c r="D31" s="19">
        <v>40</v>
      </c>
    </row>
    <row r="32" spans="1:8" ht="13.5" customHeight="1" x14ac:dyDescent="0.3">
      <c r="A32" s="15"/>
      <c r="B32" s="16"/>
      <c r="C32" s="17" t="s">
        <v>99</v>
      </c>
      <c r="D32" s="20">
        <v>26000</v>
      </c>
    </row>
    <row r="33" spans="1:4" ht="13.5" customHeight="1" x14ac:dyDescent="0.3">
      <c r="A33" s="15"/>
      <c r="B33" s="16" t="s">
        <v>37</v>
      </c>
      <c r="C33" s="17"/>
      <c r="D33" s="18"/>
    </row>
    <row r="34" spans="1:4" ht="13.5" customHeight="1" x14ac:dyDescent="0.3">
      <c r="A34" s="15"/>
      <c r="B34" s="16"/>
      <c r="C34" s="17" t="s">
        <v>98</v>
      </c>
      <c r="D34" s="19">
        <v>30</v>
      </c>
    </row>
    <row r="35" spans="1:4" ht="13.5" customHeight="1" x14ac:dyDescent="0.3">
      <c r="A35" s="15"/>
      <c r="B35" s="16"/>
      <c r="C35" s="17" t="s">
        <v>99</v>
      </c>
      <c r="D35" s="20">
        <v>66000</v>
      </c>
    </row>
    <row r="36" spans="1:4" ht="13.5" customHeight="1" x14ac:dyDescent="0.3">
      <c r="A36" s="21" t="s">
        <v>100</v>
      </c>
      <c r="B36" s="22"/>
      <c r="C36" s="23"/>
      <c r="D36" s="24">
        <v>402</v>
      </c>
    </row>
    <row r="37" spans="1:4" ht="13.5" customHeight="1" x14ac:dyDescent="0.3">
      <c r="A37" s="25" t="s">
        <v>101</v>
      </c>
      <c r="B37" s="26"/>
      <c r="C37" s="27"/>
      <c r="D37" s="28">
        <v>773000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zoomScaleNormal="100" workbookViewId="0">
      <selection activeCell="D12" sqref="D12"/>
    </sheetView>
  </sheetViews>
  <sheetFormatPr defaultColWidth="8.6640625" defaultRowHeight="14.4" x14ac:dyDescent="0.3"/>
  <cols>
    <col min="1" max="1" width="12" customWidth="1"/>
    <col min="2" max="2" width="16" customWidth="1"/>
    <col min="3" max="3" width="20" customWidth="1"/>
  </cols>
  <sheetData>
    <row r="1" spans="1:5" ht="31.5" customHeight="1" x14ac:dyDescent="0.3">
      <c r="A1" s="34" t="s">
        <v>102</v>
      </c>
      <c r="B1" s="33"/>
      <c r="C1" s="33"/>
      <c r="D1" s="33"/>
      <c r="E1" s="33"/>
    </row>
    <row r="3" spans="1:5" ht="27.75" customHeight="1" x14ac:dyDescent="0.3">
      <c r="A3" s="35" t="s">
        <v>103</v>
      </c>
      <c r="B3" s="33"/>
      <c r="C3" s="33"/>
      <c r="D3" s="33"/>
      <c r="E3" s="33"/>
    </row>
    <row r="6" spans="1:5" ht="15" customHeight="1" x14ac:dyDescent="0.3">
      <c r="A6" s="2" t="s">
        <v>3</v>
      </c>
      <c r="B6" s="2" t="s">
        <v>104</v>
      </c>
      <c r="C6" s="2" t="s">
        <v>105</v>
      </c>
    </row>
    <row r="7" spans="1:5" ht="15" customHeight="1" x14ac:dyDescent="0.3">
      <c r="A7" t="s">
        <v>16</v>
      </c>
      <c r="B7">
        <f>SUMIF('Sheet4 - Q3 Answer'!$B$4:$B$23,A7,'Sheet4 - Q3 Answer'!$C$4:$C$23)</f>
        <v>130</v>
      </c>
      <c r="C7">
        <f>_xlfn.RANK.EQ(B7,$B$7:$B$14,0)</f>
        <v>1</v>
      </c>
    </row>
    <row r="8" spans="1:5" ht="15" customHeight="1" x14ac:dyDescent="0.3">
      <c r="A8" t="s">
        <v>22</v>
      </c>
      <c r="B8">
        <f>SUMIF('Sheet4 - Q3 Answer'!$B$4:$B$23,A8,'Sheet4 - Q3 Answer'!$C$4:$C$23)</f>
        <v>40</v>
      </c>
      <c r="C8">
        <f t="shared" ref="C8:C14" si="0">_xlfn.RANK.EQ(B8,$B$7:$B$14,0)</f>
        <v>3</v>
      </c>
    </row>
    <row r="9" spans="1:5" ht="15" customHeight="1" x14ac:dyDescent="0.3">
      <c r="A9" t="s">
        <v>27</v>
      </c>
      <c r="B9">
        <f>SUMIF('Sheet4 - Q3 Answer'!$B$4:$B$23,A9,'Sheet4 - Q3 Answer'!$C$4:$C$23)</f>
        <v>30</v>
      </c>
      <c r="C9">
        <f t="shared" si="0"/>
        <v>6</v>
      </c>
    </row>
    <row r="10" spans="1:5" ht="15" customHeight="1" x14ac:dyDescent="0.3">
      <c r="A10" t="s">
        <v>32</v>
      </c>
      <c r="B10">
        <f>SUMIF('Sheet4 - Q3 Answer'!$B$4:$B$23,A10,'Sheet4 - Q3 Answer'!$C$4:$C$23)</f>
        <v>35</v>
      </c>
      <c r="C10">
        <f t="shared" si="0"/>
        <v>5</v>
      </c>
    </row>
    <row r="11" spans="1:5" ht="15" customHeight="1" x14ac:dyDescent="0.3">
      <c r="A11" t="s">
        <v>37</v>
      </c>
      <c r="B11">
        <f>SUMIF('Sheet4 - Q3 Answer'!$B$4:$B$23,A11,'Sheet4 - Q3 Answer'!$C$4:$C$23)</f>
        <v>30</v>
      </c>
      <c r="C11">
        <f t="shared" si="0"/>
        <v>6</v>
      </c>
    </row>
    <row r="12" spans="1:5" ht="15" customHeight="1" x14ac:dyDescent="0.3">
      <c r="A12" t="s">
        <v>41</v>
      </c>
      <c r="B12">
        <f>SUMIF('Sheet4 - Q3 Answer'!$B$4:$B$23,A12,'Sheet4 - Q3 Answer'!$C$4:$C$23)</f>
        <v>78</v>
      </c>
      <c r="C12">
        <f t="shared" si="0"/>
        <v>2</v>
      </c>
    </row>
    <row r="13" spans="1:5" ht="15" customHeight="1" x14ac:dyDescent="0.3">
      <c r="A13" t="s">
        <v>45</v>
      </c>
      <c r="B13">
        <f>SUMIF('Sheet4 - Q3 Answer'!$B$4:$B$23,A13,'Sheet4 - Q3 Answer'!$C$4:$C$23)</f>
        <v>19</v>
      </c>
      <c r="C13">
        <f t="shared" si="0"/>
        <v>8</v>
      </c>
    </row>
    <row r="14" spans="1:5" ht="15" customHeight="1" x14ac:dyDescent="0.3">
      <c r="A14" t="s">
        <v>50</v>
      </c>
      <c r="B14">
        <f>SUMIF('Sheet4 - Q3 Answer'!$B$4:$B$23,A14,'Sheet4 - Q3 Answer'!$C$4:$C$23)</f>
        <v>40</v>
      </c>
      <c r="C14">
        <f t="shared" si="0"/>
        <v>3</v>
      </c>
    </row>
    <row r="16" spans="1:5" ht="15" customHeight="1" x14ac:dyDescent="0.3">
      <c r="A16" s="2" t="s">
        <v>5</v>
      </c>
      <c r="B16" s="2" t="s">
        <v>106</v>
      </c>
      <c r="C16" s="2" t="s">
        <v>107</v>
      </c>
    </row>
    <row r="17" spans="1:3" ht="15" customHeight="1" x14ac:dyDescent="0.3">
      <c r="A17" t="s">
        <v>18</v>
      </c>
      <c r="B17">
        <f>SUMIF('Sheet4 - Q3 Answer'!$D$4:$D$23,A17,'Sheet4 - Q3 Answer'!$F$4:$F$23)</f>
        <v>150500</v>
      </c>
      <c r="C17" s="40">
        <f>B17/SUM($B$17:$B$20)</f>
        <v>0.19469598965071153</v>
      </c>
    </row>
    <row r="18" spans="1:3" ht="15" customHeight="1" x14ac:dyDescent="0.3">
      <c r="A18" t="s">
        <v>29</v>
      </c>
      <c r="B18">
        <f>SUMIF('Sheet4 - Q3 Answer'!$D$4:$D$23,A18,'Sheet4 - Q3 Answer'!$F$4:$F$23)</f>
        <v>375000</v>
      </c>
      <c r="C18" s="40">
        <f t="shared" ref="C18:C20" si="1">B18/SUM($B$17:$B$20)</f>
        <v>0.48512289780077622</v>
      </c>
    </row>
    <row r="19" spans="1:3" ht="15" customHeight="1" x14ac:dyDescent="0.3">
      <c r="A19" t="s">
        <v>34</v>
      </c>
      <c r="B19">
        <f>SUMIF('Sheet4 - Q3 Answer'!$D$4:$D$23,A19,'Sheet4 - Q3 Answer'!$F$4:$F$23)</f>
        <v>90000</v>
      </c>
      <c r="C19" s="40">
        <f t="shared" si="1"/>
        <v>0.11642949547218628</v>
      </c>
    </row>
    <row r="20" spans="1:3" ht="15" customHeight="1" x14ac:dyDescent="0.3">
      <c r="A20" t="s">
        <v>47</v>
      </c>
      <c r="B20">
        <f>SUMIF('Sheet4 - Q3 Answer'!$D$4:$D$23,A20,'Sheet4 - Q3 Answer'!$F$4:$F$23)</f>
        <v>157500</v>
      </c>
      <c r="C20" s="40">
        <f t="shared" si="1"/>
        <v>0.203751617076326</v>
      </c>
    </row>
  </sheetData>
  <mergeCells count="2">
    <mergeCell ref="A1:E1"/>
    <mergeCell ref="A3:E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0"/>
  <sheetViews>
    <sheetView topLeftCell="E1" zoomScaleNormal="100" workbookViewId="0">
      <selection activeCell="K10" sqref="K10"/>
    </sheetView>
  </sheetViews>
  <sheetFormatPr defaultColWidth="11.5546875" defaultRowHeight="14.4" x14ac:dyDescent="0.3"/>
  <sheetData>
    <row r="1" spans="1:2" ht="13.5" customHeight="1" x14ac:dyDescent="0.3">
      <c r="A1" t="s">
        <v>108</v>
      </c>
    </row>
    <row r="2" spans="1:2" ht="13.5" customHeight="1" x14ac:dyDescent="0.3">
      <c r="A2" t="s">
        <v>109</v>
      </c>
    </row>
    <row r="3" spans="1:2" ht="13.5" customHeight="1" x14ac:dyDescent="0.3">
      <c r="A3" t="s">
        <v>3</v>
      </c>
      <c r="B3" t="s">
        <v>104</v>
      </c>
    </row>
    <row r="4" spans="1:2" ht="13.5" customHeight="1" x14ac:dyDescent="0.3">
      <c r="A4" t="s">
        <v>16</v>
      </c>
      <c r="B4">
        <v>130</v>
      </c>
    </row>
    <row r="5" spans="1:2" ht="13.5" customHeight="1" x14ac:dyDescent="0.3">
      <c r="A5" t="s">
        <v>41</v>
      </c>
      <c r="B5">
        <v>78</v>
      </c>
    </row>
    <row r="6" spans="1:2" ht="13.5" customHeight="1" x14ac:dyDescent="0.3">
      <c r="A6" t="s">
        <v>22</v>
      </c>
      <c r="B6">
        <v>40</v>
      </c>
    </row>
    <row r="7" spans="1:2" ht="13.5" customHeight="1" x14ac:dyDescent="0.3">
      <c r="A7" t="s">
        <v>50</v>
      </c>
      <c r="B7">
        <v>40</v>
      </c>
    </row>
    <row r="8" spans="1:2" ht="13.5" customHeight="1" x14ac:dyDescent="0.3">
      <c r="A8" t="s">
        <v>32</v>
      </c>
      <c r="B8">
        <v>35</v>
      </c>
    </row>
    <row r="9" spans="1:2" ht="13.5" customHeight="1" x14ac:dyDescent="0.3">
      <c r="A9" t="s">
        <v>27</v>
      </c>
      <c r="B9">
        <v>30</v>
      </c>
    </row>
    <row r="10" spans="1:2" ht="13.5" customHeight="1" x14ac:dyDescent="0.3">
      <c r="A10" t="s">
        <v>37</v>
      </c>
      <c r="B10">
        <v>30</v>
      </c>
    </row>
    <row r="11" spans="1:2" ht="13.5" customHeight="1" x14ac:dyDescent="0.3">
      <c r="A11" t="s">
        <v>45</v>
      </c>
      <c r="B11">
        <v>19</v>
      </c>
    </row>
    <row r="12" spans="1:2" ht="13.5" customHeight="1" x14ac:dyDescent="0.3"/>
    <row r="13" spans="1:2" ht="13.5" customHeight="1" x14ac:dyDescent="0.3"/>
    <row r="14" spans="1:2" ht="13.5" customHeight="1" x14ac:dyDescent="0.3"/>
    <row r="15" spans="1:2" ht="13.5" customHeight="1" x14ac:dyDescent="0.3"/>
    <row r="16" spans="1:2" ht="13.5" customHeight="1" x14ac:dyDescent="0.3"/>
    <row r="17" ht="13.5" customHeight="1" x14ac:dyDescent="0.3"/>
    <row r="18" ht="13.5" customHeight="1" x14ac:dyDescent="0.3"/>
    <row r="19" ht="13.5" customHeight="1" x14ac:dyDescent="0.3"/>
    <row r="20" ht="13.5" customHeight="1" x14ac:dyDescent="0.3"/>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
  <sheetViews>
    <sheetView topLeftCell="D4" zoomScaleNormal="100" workbookViewId="0">
      <selection activeCell="J7" sqref="J7"/>
    </sheetView>
  </sheetViews>
  <sheetFormatPr defaultColWidth="8.6640625" defaultRowHeight="14.4" x14ac:dyDescent="0.3"/>
  <cols>
    <col min="1" max="1" width="26" customWidth="1"/>
    <col min="2" max="2" width="20" customWidth="1"/>
    <col min="3" max="5" width="10" customWidth="1"/>
  </cols>
  <sheetData>
    <row r="1" spans="1:5" ht="21.75" customHeight="1" x14ac:dyDescent="0.3">
      <c r="A1" s="34" t="s">
        <v>110</v>
      </c>
      <c r="B1" s="33"/>
      <c r="C1" s="33"/>
      <c r="D1" s="33"/>
      <c r="E1" s="33"/>
    </row>
    <row r="3" spans="1:5" ht="15" customHeight="1" x14ac:dyDescent="0.3">
      <c r="A3" s="29" t="s">
        <v>111</v>
      </c>
    </row>
    <row r="4" spans="1:5" ht="54.75" customHeight="1" x14ac:dyDescent="0.3">
      <c r="A4" s="36" t="s">
        <v>112</v>
      </c>
      <c r="B4" s="33"/>
      <c r="C4" s="33"/>
      <c r="D4" s="33"/>
      <c r="E4" s="33"/>
    </row>
    <row r="5" spans="1:5" ht="15" customHeight="1" x14ac:dyDescent="0.3">
      <c r="A5" s="33"/>
      <c r="B5" s="33"/>
      <c r="C5" s="33"/>
      <c r="D5" s="33"/>
      <c r="E5" s="33"/>
    </row>
    <row r="6" spans="1:5" ht="15" customHeight="1" x14ac:dyDescent="0.3">
      <c r="A6" s="33"/>
      <c r="B6" s="33"/>
      <c r="C6" s="33"/>
      <c r="D6" s="33"/>
      <c r="E6" s="33"/>
    </row>
    <row r="9" spans="1:5" ht="15" customHeight="1" x14ac:dyDescent="0.3">
      <c r="A9" s="30" t="s">
        <v>113</v>
      </c>
    </row>
    <row r="11" spans="1:5" ht="15" customHeight="1" x14ac:dyDescent="0.3">
      <c r="A11" s="2" t="s">
        <v>114</v>
      </c>
      <c r="B11" s="2" t="s">
        <v>115</v>
      </c>
    </row>
    <row r="12" spans="1:5" ht="15" customHeight="1" x14ac:dyDescent="0.3">
      <c r="A12" t="s">
        <v>116</v>
      </c>
    </row>
    <row r="13" spans="1:5" ht="15" customHeight="1" x14ac:dyDescent="0.3">
      <c r="A13" t="s">
        <v>117</v>
      </c>
    </row>
    <row r="14" spans="1:5" ht="15" customHeight="1" x14ac:dyDescent="0.3">
      <c r="A14" t="s">
        <v>118</v>
      </c>
    </row>
    <row r="15" spans="1:5" ht="15" customHeight="1" x14ac:dyDescent="0.3">
      <c r="A15" t="s">
        <v>119</v>
      </c>
    </row>
  </sheetData>
  <mergeCells count="2">
    <mergeCell ref="A1:E1"/>
    <mergeCell ref="A4:E6"/>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2"/>
  <sheetViews>
    <sheetView zoomScaleNormal="100" workbookViewId="0">
      <selection activeCell="D19" sqref="D19"/>
    </sheetView>
  </sheetViews>
  <sheetFormatPr defaultColWidth="11.5546875" defaultRowHeight="14.4" x14ac:dyDescent="0.3"/>
  <cols>
    <col min="1" max="1" width="34" customWidth="1"/>
  </cols>
  <sheetData>
    <row r="1" spans="1:13" ht="13.5" customHeight="1" x14ac:dyDescent="0.3">
      <c r="A1" t="s">
        <v>120</v>
      </c>
    </row>
    <row r="2" spans="1:13" ht="13.5" customHeight="1" x14ac:dyDescent="0.3"/>
    <row r="3" spans="1:13" ht="13.5" customHeight="1" x14ac:dyDescent="0.3">
      <c r="A3" t="s">
        <v>121</v>
      </c>
      <c r="D3" t="s">
        <v>106</v>
      </c>
      <c r="G3" t="s">
        <v>122</v>
      </c>
      <c r="J3" t="s">
        <v>123</v>
      </c>
      <c r="M3" t="s">
        <v>124</v>
      </c>
    </row>
    <row r="4" spans="1:13" ht="13.5" customHeight="1" x14ac:dyDescent="0.3">
      <c r="A4" s="31" t="s">
        <v>125</v>
      </c>
      <c r="D4" t="s">
        <v>126</v>
      </c>
      <c r="G4" s="31" t="s">
        <v>127</v>
      </c>
      <c r="J4" t="s">
        <v>16</v>
      </c>
      <c r="M4" s="31" t="s">
        <v>128</v>
      </c>
    </row>
    <row r="5" spans="1:13" ht="13.5" customHeight="1" x14ac:dyDescent="0.3"/>
    <row r="6" spans="1:13" ht="13.5" customHeight="1" x14ac:dyDescent="0.3"/>
    <row r="7" spans="1:13" ht="13.5" customHeight="1" x14ac:dyDescent="0.3">
      <c r="A7" t="s">
        <v>5</v>
      </c>
      <c r="B7" t="s">
        <v>106</v>
      </c>
    </row>
    <row r="8" spans="1:13" ht="13.5" customHeight="1" x14ac:dyDescent="0.3">
      <c r="A8" t="s">
        <v>18</v>
      </c>
      <c r="B8">
        <v>150500</v>
      </c>
    </row>
    <row r="9" spans="1:13" ht="13.5" customHeight="1" x14ac:dyDescent="0.3">
      <c r="A9" t="s">
        <v>29</v>
      </c>
      <c r="B9">
        <v>375000</v>
      </c>
    </row>
    <row r="10" spans="1:13" ht="13.5" customHeight="1" x14ac:dyDescent="0.3">
      <c r="A10" t="s">
        <v>34</v>
      </c>
      <c r="B10">
        <v>90000</v>
      </c>
    </row>
    <row r="11" spans="1:13" ht="13.5" customHeight="1" x14ac:dyDescent="0.3">
      <c r="A11" t="s">
        <v>47</v>
      </c>
      <c r="B11">
        <v>157500</v>
      </c>
    </row>
    <row r="12" spans="1:13" ht="13.5" customHeight="1" x14ac:dyDescent="0.3"/>
    <row r="13" spans="1:13" ht="13.5" customHeight="1" x14ac:dyDescent="0.3"/>
    <row r="14" spans="1:13" ht="13.5" customHeight="1" x14ac:dyDescent="0.3">
      <c r="A14" t="s">
        <v>129</v>
      </c>
    </row>
    <row r="15" spans="1:13" ht="13.5" customHeight="1" x14ac:dyDescent="0.3"/>
    <row r="16" spans="1:13" ht="13.5" customHeight="1" x14ac:dyDescent="0.3">
      <c r="A16" t="s">
        <v>130</v>
      </c>
    </row>
    <row r="17" spans="1:2" ht="13.5" customHeight="1" x14ac:dyDescent="0.3"/>
    <row r="18" spans="1:2" ht="13.5" customHeight="1" x14ac:dyDescent="0.3">
      <c r="A18" t="s">
        <v>131</v>
      </c>
      <c r="B18">
        <f>'Sheet7 - Q6 Answer'!B13/90</f>
        <v>0.21111111111111111</v>
      </c>
    </row>
    <row r="19" spans="1:2" ht="13.5" customHeight="1" x14ac:dyDescent="0.3">
      <c r="A19" t="s">
        <v>132</v>
      </c>
      <c r="B19">
        <f>'Sheet3 - Q2 Answer'!B10</f>
        <v>9</v>
      </c>
    </row>
    <row r="20" spans="1:2" ht="13.5" customHeight="1" x14ac:dyDescent="0.3">
      <c r="A20" t="s">
        <v>133</v>
      </c>
      <c r="B20">
        <v>60</v>
      </c>
    </row>
    <row r="21" spans="1:2" ht="13.5" customHeight="1" x14ac:dyDescent="0.3">
      <c r="A21" t="s">
        <v>134</v>
      </c>
      <c r="B21">
        <v>3.6666666666666674</v>
      </c>
    </row>
    <row r="22" spans="1:2" x14ac:dyDescent="0.3">
      <c r="A22" t="s">
        <v>139</v>
      </c>
      <c r="B22">
        <f>IFERROR((B19+B21)/B18,0)</f>
        <v>60.000000000000007</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Sheet1 - Dataset</vt:lpstr>
      <vt:lpstr>Sheet2 - Q1 Answer</vt:lpstr>
      <vt:lpstr>Sheet3 - Q2 Answer</vt:lpstr>
      <vt:lpstr>Sheet4 - Q3 Answer</vt:lpstr>
      <vt:lpstr>Sheet5 - Q4 Answer</vt:lpstr>
      <vt:lpstr>Sheet6 - Q5 Answer</vt:lpstr>
      <vt:lpstr>Sheet7 - Q6 Answer</vt:lpstr>
      <vt:lpstr>Sheet8 - Q7 Answer</vt:lpstr>
      <vt:lpstr>Sheet9 - Q8 Answer</vt:lpstr>
      <vt:lpstr>Sheet10 - Q9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Mirthul S</cp:lastModifiedBy>
  <cp:revision>9</cp:revision>
  <dcterms:created xsi:type="dcterms:W3CDTF">2026-09-11T10:42:03Z</dcterms:created>
  <dcterms:modified xsi:type="dcterms:W3CDTF">2026-10-16T09:35:07Z</dcterms:modified>
  <dc:language>en-US</dc:language>
</cp:coreProperties>
</file>